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C:\Users\Jacky Li\Desktop\"/>
    </mc:Choice>
  </mc:AlternateContent>
  <xr:revisionPtr revIDLastSave="0" documentId="13_ncr:1_{155CF869-813A-4F62-AFE5-5D4DEDC9A39F}" xr6:coauthVersionLast="47" xr6:coauthVersionMax="47" xr10:uidLastSave="{00000000-0000-0000-0000-000000000000}"/>
  <bookViews>
    <workbookView xWindow="-98" yWindow="-98" windowWidth="28996" windowHeight="15796" xr2:uid="{00000000-000D-0000-FFFF-FFFF00000000}"/>
  </bookViews>
  <sheets>
    <sheet name="Basics" sheetId="1" r:id="rId1"/>
    <sheet name="Case_RV&gt;IV" sheetId="2" r:id="rId2"/>
    <sheet name="Rv_Cal" sheetId="3" r:id="rId3"/>
    <sheet name="Acutaul_Case" sheetId="4" r:id="rId4"/>
    <sheet name="Appli_Theo_Pricing_Model" sheetId="5" r:id="rId5"/>
  </sheets>
  <functionGroups builtInGroupCount="19"/>
  <definedNames>
    <definedName name="Annual_Dividend_Yield">Basics!$B$10</definedName>
    <definedName name="Predicted_Volatility_Used_Historical">Basics!$B$8</definedName>
    <definedName name="Risk_Free_Rate">Basics!$B$9</definedName>
    <definedName name="solver_adj" localSheetId="0" hidden="1">Basics!$B$8</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Basics!$F$5</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Basics!$F$5</definedName>
    <definedName name="solver_pre" localSheetId="0" hidden="1">0.000001</definedName>
    <definedName name="solver_rbv" localSheetId="0" hidden="1">2</definedName>
    <definedName name="solver_rel1" localSheetId="0" hidden="1">1</definedName>
    <definedName name="solver_rhs1" localSheetId="0" hidden="1">5.75</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5.75</definedName>
    <definedName name="solver_ver" localSheetId="0" hidden="1">3</definedName>
    <definedName name="Stock_Price">Basics!$B$5</definedName>
    <definedName name="Strike_Price">Basics!$B$6</definedName>
    <definedName name="Time_to_Expiry">Basics!$B$7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4" i="5" l="1"/>
  <c r="W1" i="5"/>
  <c r="Y2" i="4"/>
  <c r="B18" i="4"/>
  <c r="Z4" i="2"/>
  <c r="D4" i="2"/>
  <c r="D5" i="2" s="1"/>
  <c r="D6" i="2" s="1"/>
  <c r="D7" i="2" s="1"/>
  <c r="D8" i="2" s="1"/>
  <c r="D9" i="2" s="1"/>
  <c r="D10" i="2" s="1"/>
  <c r="D11" i="2" s="1"/>
  <c r="D12" i="2" s="1"/>
  <c r="D13" i="2" s="1"/>
  <c r="D14" i="2" s="1"/>
  <c r="D15" i="2" s="1"/>
  <c r="D16" i="2" s="1"/>
  <c r="D17" i="2" s="1"/>
  <c r="D18" i="2" s="1"/>
  <c r="D19" i="2" s="1"/>
  <c r="D20" i="2" s="1"/>
  <c r="D21" i="2" s="1"/>
  <c r="D22" i="2" s="1"/>
  <c r="D23" i="2" s="1"/>
  <c r="D24" i="2" s="1"/>
  <c r="D25" i="2" s="1"/>
  <c r="D26" i="2" s="1"/>
  <c r="D27" i="2" s="1"/>
  <c r="D28" i="2" s="1"/>
  <c r="D29" i="2" s="1"/>
  <c r="D30" i="2" s="1"/>
  <c r="D31" i="2" s="1"/>
  <c r="E4" i="2"/>
  <c r="H5" i="4"/>
  <c r="H6" i="4"/>
  <c r="H7" i="4"/>
  <c r="H8" i="4"/>
  <c r="H9" i="4"/>
  <c r="H10" i="4"/>
  <c r="H11" i="4"/>
  <c r="H12" i="4"/>
  <c r="H13" i="4"/>
  <c r="H14" i="4"/>
  <c r="H15" i="4"/>
  <c r="H16" i="4"/>
  <c r="H17" i="4"/>
  <c r="H18" i="4"/>
  <c r="S18" i="4" s="1"/>
  <c r="V18" i="4" s="1"/>
  <c r="H19" i="4"/>
  <c r="H20" i="4"/>
  <c r="S20" i="4" s="1"/>
  <c r="V20" i="4" s="1"/>
  <c r="H21" i="4"/>
  <c r="H22" i="4"/>
  <c r="H23" i="4"/>
  <c r="H24" i="4"/>
  <c r="H25" i="4"/>
  <c r="H26" i="4"/>
  <c r="H27" i="4"/>
  <c r="H28" i="4"/>
  <c r="S28" i="4" s="1"/>
  <c r="V28" i="4" s="1"/>
  <c r="H29" i="4"/>
  <c r="H30" i="4"/>
  <c r="H31" i="4"/>
  <c r="H4" i="4"/>
  <c r="I5" i="2"/>
  <c r="I6" i="2"/>
  <c r="I7" i="2"/>
  <c r="I8" i="2"/>
  <c r="I9" i="2"/>
  <c r="I10" i="2"/>
  <c r="I11" i="2"/>
  <c r="I12" i="2"/>
  <c r="I13" i="2"/>
  <c r="I14" i="2"/>
  <c r="I15" i="2"/>
  <c r="I16" i="2"/>
  <c r="I17" i="2"/>
  <c r="I18" i="2"/>
  <c r="I19" i="2"/>
  <c r="I20" i="2"/>
  <c r="I21" i="2"/>
  <c r="I22" i="2"/>
  <c r="I23" i="2"/>
  <c r="I24" i="2"/>
  <c r="I25" i="2"/>
  <c r="I26" i="2"/>
  <c r="I27" i="2"/>
  <c r="I28" i="2"/>
  <c r="I29" i="2"/>
  <c r="I30" i="2"/>
  <c r="I31" i="2"/>
  <c r="I4" i="2"/>
  <c r="E6" i="2"/>
  <c r="T32" i="5"/>
  <c r="O31" i="5"/>
  <c r="R31" i="5" s="1"/>
  <c r="S31" i="5" s="1"/>
  <c r="P31" i="5"/>
  <c r="Q31" i="5"/>
  <c r="T31" i="5"/>
  <c r="N31" i="5"/>
  <c r="M31" i="5"/>
  <c r="K31" i="5"/>
  <c r="H31" i="5"/>
  <c r="I31" i="5"/>
  <c r="S31" i="4"/>
  <c r="V31" i="4" s="1"/>
  <c r="W31" i="4" s="1"/>
  <c r="T31" i="4"/>
  <c r="U31" i="4"/>
  <c r="M31" i="4"/>
  <c r="O31" i="4" s="1"/>
  <c r="N31" i="4"/>
  <c r="J31" i="4"/>
  <c r="I31" i="4"/>
  <c r="K31" i="2"/>
  <c r="U8" i="4"/>
  <c r="O30" i="5"/>
  <c r="R30" i="5" s="1"/>
  <c r="P30" i="5"/>
  <c r="T30" i="5"/>
  <c r="M30" i="5"/>
  <c r="N30" i="5" s="1"/>
  <c r="Q30" i="5" s="1"/>
  <c r="K30" i="5"/>
  <c r="I30" i="5"/>
  <c r="H30" i="5"/>
  <c r="N30" i="4"/>
  <c r="M30" i="4"/>
  <c r="I30" i="4"/>
  <c r="S30" i="4"/>
  <c r="V30" i="4" s="1"/>
  <c r="T30" i="4"/>
  <c r="U30" i="4"/>
  <c r="R7" i="5"/>
  <c r="R5" i="5"/>
  <c r="Q7" i="5"/>
  <c r="Q3" i="5"/>
  <c r="O29" i="5"/>
  <c r="R29" i="5" s="1"/>
  <c r="P29" i="5"/>
  <c r="T29" i="5"/>
  <c r="N29" i="5"/>
  <c r="Q29" i="5" s="1"/>
  <c r="M29" i="5"/>
  <c r="K29" i="5"/>
  <c r="H29" i="5"/>
  <c r="I29" i="5"/>
  <c r="I29" i="4"/>
  <c r="M29" i="4"/>
  <c r="S29" i="4"/>
  <c r="V29" i="4" s="1"/>
  <c r="T29" i="4"/>
  <c r="U29" i="4"/>
  <c r="T5" i="5"/>
  <c r="T28" i="5"/>
  <c r="Q28" i="5"/>
  <c r="S28" i="5" s="1"/>
  <c r="R28" i="5"/>
  <c r="P28" i="5"/>
  <c r="O28" i="5"/>
  <c r="N28" i="5"/>
  <c r="M28" i="5"/>
  <c r="H28" i="5"/>
  <c r="I28" i="5"/>
  <c r="K28" i="5"/>
  <c r="M28" i="4"/>
  <c r="N28" i="4"/>
  <c r="I28" i="4"/>
  <c r="T28" i="4"/>
  <c r="U28" i="4"/>
  <c r="O27" i="5"/>
  <c r="O14" i="5"/>
  <c r="R4" i="5"/>
  <c r="T4" i="5"/>
  <c r="T6" i="5"/>
  <c r="T7" i="5"/>
  <c r="T8" i="5"/>
  <c r="T9" i="5"/>
  <c r="T10" i="5"/>
  <c r="T11" i="5"/>
  <c r="T12" i="5"/>
  <c r="T13" i="5"/>
  <c r="T14" i="5"/>
  <c r="T15" i="5"/>
  <c r="T16" i="5"/>
  <c r="T17" i="5"/>
  <c r="T18" i="5"/>
  <c r="T19" i="5"/>
  <c r="T20" i="5"/>
  <c r="T21" i="5"/>
  <c r="T22" i="5"/>
  <c r="T23" i="5"/>
  <c r="T24" i="5"/>
  <c r="T25" i="5"/>
  <c r="T26" i="5"/>
  <c r="T27" i="5"/>
  <c r="T3" i="5"/>
  <c r="W3" i="5"/>
  <c r="W2" i="5"/>
  <c r="M4" i="5"/>
  <c r="M5" i="5"/>
  <c r="M6" i="5"/>
  <c r="M7" i="5"/>
  <c r="M8" i="5"/>
  <c r="M9" i="5"/>
  <c r="M10" i="5"/>
  <c r="M11" i="5"/>
  <c r="M12" i="5"/>
  <c r="M13" i="5"/>
  <c r="M14" i="5"/>
  <c r="M15" i="5"/>
  <c r="M16" i="5"/>
  <c r="M17" i="5"/>
  <c r="M18" i="5"/>
  <c r="M19" i="5"/>
  <c r="M20" i="5"/>
  <c r="M21" i="5"/>
  <c r="M22" i="5"/>
  <c r="M23" i="5"/>
  <c r="M24" i="5"/>
  <c r="M25" i="5"/>
  <c r="M26" i="5"/>
  <c r="M27" i="5"/>
  <c r="M3" i="5"/>
  <c r="K4" i="5"/>
  <c r="K5" i="5"/>
  <c r="K6" i="5"/>
  <c r="K7" i="5"/>
  <c r="K8" i="5"/>
  <c r="K9" i="5"/>
  <c r="K10" i="5"/>
  <c r="K11" i="5"/>
  <c r="K12" i="5"/>
  <c r="K13" i="5"/>
  <c r="K14" i="5"/>
  <c r="K15" i="5"/>
  <c r="K16" i="5"/>
  <c r="K17" i="5"/>
  <c r="K18" i="5"/>
  <c r="K19" i="5"/>
  <c r="K20" i="5"/>
  <c r="K21" i="5"/>
  <c r="K22" i="5"/>
  <c r="K23" i="5"/>
  <c r="K24" i="5"/>
  <c r="K25" i="5"/>
  <c r="K26" i="5"/>
  <c r="K27" i="5"/>
  <c r="K3" i="5"/>
  <c r="B18" i="5"/>
  <c r="I3" i="5"/>
  <c r="I27" i="5"/>
  <c r="H27" i="5"/>
  <c r="I26" i="5"/>
  <c r="H26" i="5"/>
  <c r="I25" i="5"/>
  <c r="H25" i="5"/>
  <c r="I24" i="5"/>
  <c r="H24" i="5"/>
  <c r="I23" i="5"/>
  <c r="H23" i="5"/>
  <c r="I22" i="5"/>
  <c r="H22" i="5"/>
  <c r="I21" i="5"/>
  <c r="H21" i="5"/>
  <c r="I20" i="5"/>
  <c r="H20" i="5"/>
  <c r="I19" i="5"/>
  <c r="H19" i="5"/>
  <c r="I18" i="5"/>
  <c r="H18" i="5"/>
  <c r="I17" i="5"/>
  <c r="H17" i="5"/>
  <c r="I16" i="5"/>
  <c r="H16" i="5"/>
  <c r="I15" i="5"/>
  <c r="H15" i="5"/>
  <c r="I14" i="5"/>
  <c r="H14" i="5"/>
  <c r="I13" i="5"/>
  <c r="H13" i="5"/>
  <c r="I12" i="5"/>
  <c r="H12" i="5"/>
  <c r="I11" i="5"/>
  <c r="H11" i="5"/>
  <c r="I10" i="5"/>
  <c r="H10" i="5"/>
  <c r="I9" i="5"/>
  <c r="H9" i="5"/>
  <c r="I8" i="5"/>
  <c r="H8" i="5"/>
  <c r="I7" i="5"/>
  <c r="H7" i="5"/>
  <c r="I6" i="5"/>
  <c r="H6" i="5"/>
  <c r="I5" i="5"/>
  <c r="H5" i="5"/>
  <c r="I4" i="5"/>
  <c r="H4" i="5"/>
  <c r="N27" i="4"/>
  <c r="M27" i="4"/>
  <c r="M7" i="4"/>
  <c r="L7" i="4"/>
  <c r="O7" i="4"/>
  <c r="N7" i="4"/>
  <c r="I27" i="4"/>
  <c r="S27" i="4"/>
  <c r="V27" i="4" s="1"/>
  <c r="T27" i="4"/>
  <c r="U27" i="4"/>
  <c r="M25" i="4"/>
  <c r="N25" i="4"/>
  <c r="L26" i="4"/>
  <c r="I25" i="4"/>
  <c r="S25" i="4"/>
  <c r="V25" i="4" s="1"/>
  <c r="T25" i="4"/>
  <c r="U25" i="4"/>
  <c r="I26" i="4"/>
  <c r="U24" i="4"/>
  <c r="I23" i="4"/>
  <c r="M23" i="4"/>
  <c r="S23" i="4"/>
  <c r="V23" i="4" s="1"/>
  <c r="T23" i="4"/>
  <c r="U23" i="4"/>
  <c r="S24" i="4"/>
  <c r="I24" i="4"/>
  <c r="U22" i="4"/>
  <c r="S22" i="4"/>
  <c r="O22" i="4"/>
  <c r="I22" i="4"/>
  <c r="M22" i="4"/>
  <c r="V22" i="4"/>
  <c r="T22" i="4"/>
  <c r="S21" i="4"/>
  <c r="I20" i="4"/>
  <c r="M20" i="4"/>
  <c r="T20" i="4"/>
  <c r="U20" i="4"/>
  <c r="I21" i="4"/>
  <c r="U19" i="4"/>
  <c r="N18" i="4"/>
  <c r="L18" i="4"/>
  <c r="I18" i="4"/>
  <c r="M18" i="4"/>
  <c r="T18" i="4"/>
  <c r="U18" i="4"/>
  <c r="I19" i="4"/>
  <c r="U17" i="4"/>
  <c r="S17" i="4"/>
  <c r="N17" i="4"/>
  <c r="M17" i="4"/>
  <c r="I16" i="4"/>
  <c r="M16" i="4"/>
  <c r="S16" i="4"/>
  <c r="V16" i="4" s="1"/>
  <c r="T16" i="4"/>
  <c r="U16" i="4"/>
  <c r="I17" i="4"/>
  <c r="T7" i="4"/>
  <c r="M15" i="4"/>
  <c r="M14" i="4"/>
  <c r="M8" i="4"/>
  <c r="L6" i="4"/>
  <c r="M9" i="4"/>
  <c r="M10" i="4"/>
  <c r="M11" i="4"/>
  <c r="M12" i="4"/>
  <c r="M13" i="4"/>
  <c r="I7" i="4"/>
  <c r="I8" i="4"/>
  <c r="I9" i="4"/>
  <c r="I10" i="4"/>
  <c r="I11" i="4"/>
  <c r="I12" i="4"/>
  <c r="I13" i="4"/>
  <c r="I14" i="4"/>
  <c r="I15" i="4"/>
  <c r="I6" i="4"/>
  <c r="I5" i="4"/>
  <c r="I4" i="4"/>
  <c r="I3" i="4"/>
  <c r="E3" i="2"/>
  <c r="R15" i="4"/>
  <c r="R4" i="4"/>
  <c r="K7" i="4"/>
  <c r="K15" i="4"/>
  <c r="K8" i="4"/>
  <c r="K9" i="4"/>
  <c r="K10" i="4"/>
  <c r="K11" i="4"/>
  <c r="K12" i="4"/>
  <c r="K13" i="4"/>
  <c r="K14" i="4"/>
  <c r="J7" i="4"/>
  <c r="J15" i="4"/>
  <c r="J8" i="4"/>
  <c r="J9" i="4"/>
  <c r="J10" i="4"/>
  <c r="J11" i="4"/>
  <c r="J12" i="4"/>
  <c r="J13" i="4"/>
  <c r="J14" i="4"/>
  <c r="Q13" i="4"/>
  <c r="Q9" i="4"/>
  <c r="Q5" i="4"/>
  <c r="K4" i="4"/>
  <c r="P3" i="4"/>
  <c r="R14" i="4"/>
  <c r="P13" i="4"/>
  <c r="R12" i="4"/>
  <c r="P9" i="4"/>
  <c r="R8" i="4"/>
  <c r="P5" i="4"/>
  <c r="J4" i="4"/>
  <c r="Q12" i="4"/>
  <c r="Q8" i="4"/>
  <c r="Q4" i="4"/>
  <c r="R10" i="4"/>
  <c r="J6" i="4"/>
  <c r="P12" i="4"/>
  <c r="R11" i="4"/>
  <c r="P8" i="4"/>
  <c r="R7" i="4"/>
  <c r="P4" i="4"/>
  <c r="J3" i="4"/>
  <c r="P15" i="4"/>
  <c r="P11" i="4"/>
  <c r="P7" i="4"/>
  <c r="Q15" i="4"/>
  <c r="Q11" i="4"/>
  <c r="Q7" i="4"/>
  <c r="K6" i="4"/>
  <c r="Q14" i="4"/>
  <c r="Q10" i="4"/>
  <c r="Q6" i="4"/>
  <c r="K5" i="4"/>
  <c r="R3" i="4"/>
  <c r="Q3" i="4"/>
  <c r="R6" i="4"/>
  <c r="P14" i="4"/>
  <c r="R13" i="4"/>
  <c r="P10" i="4"/>
  <c r="R9" i="4"/>
  <c r="P6" i="4"/>
  <c r="R5" i="4"/>
  <c r="J5" i="4"/>
  <c r="P17" i="4"/>
  <c r="P16" i="4"/>
  <c r="Q16" i="4"/>
  <c r="J16" i="4"/>
  <c r="K17" i="4"/>
  <c r="K16" i="4"/>
  <c r="J17" i="4"/>
  <c r="Q17" i="4"/>
  <c r="R17" i="4"/>
  <c r="R16" i="4"/>
  <c r="R19" i="4"/>
  <c r="K18" i="4"/>
  <c r="J19" i="4"/>
  <c r="K19" i="4"/>
  <c r="Q19" i="4"/>
  <c r="P19" i="4"/>
  <c r="Q18" i="4"/>
  <c r="R18" i="4"/>
  <c r="J18" i="4"/>
  <c r="P20" i="4"/>
  <c r="Q20" i="4"/>
  <c r="J20" i="4"/>
  <c r="R20" i="4"/>
  <c r="K20" i="4"/>
  <c r="K21" i="4"/>
  <c r="R21" i="4"/>
  <c r="Q21" i="4"/>
  <c r="P21" i="4"/>
  <c r="J21" i="4"/>
  <c r="P22" i="4"/>
  <c r="J22" i="4"/>
  <c r="Q22" i="4"/>
  <c r="K22" i="4"/>
  <c r="R22" i="4"/>
  <c r="P23" i="4"/>
  <c r="Q23" i="4"/>
  <c r="J23" i="4"/>
  <c r="K23" i="4"/>
  <c r="R23" i="4"/>
  <c r="P18" i="4"/>
  <c r="P26" i="4"/>
  <c r="P25" i="4"/>
  <c r="Q25" i="4"/>
  <c r="Q26" i="4"/>
  <c r="J25" i="4"/>
  <c r="R25" i="4"/>
  <c r="J26" i="4"/>
  <c r="R26" i="4"/>
  <c r="K25" i="4"/>
  <c r="K26" i="4"/>
  <c r="J24" i="4"/>
  <c r="K24" i="4"/>
  <c r="R24" i="4"/>
  <c r="P24" i="4"/>
  <c r="Q24" i="4"/>
  <c r="Q27" i="4"/>
  <c r="J27" i="4"/>
  <c r="K27" i="4"/>
  <c r="R27" i="4"/>
  <c r="P27" i="4"/>
  <c r="R28" i="4"/>
  <c r="Q28" i="4"/>
  <c r="J28" i="4"/>
  <c r="K28" i="4"/>
  <c r="P28" i="4"/>
  <c r="P29" i="4"/>
  <c r="Q29" i="4"/>
  <c r="J29" i="4"/>
  <c r="K29" i="4"/>
  <c r="R29" i="4"/>
  <c r="P30" i="4"/>
  <c r="Q30" i="4"/>
  <c r="J30" i="4"/>
  <c r="K30" i="4"/>
  <c r="R30" i="4"/>
  <c r="K3" i="4"/>
  <c r="L3" i="2"/>
  <c r="N4" i="2" l="1"/>
  <c r="O32" i="5"/>
  <c r="M4" i="4"/>
  <c r="L3" i="4"/>
  <c r="L4" i="4"/>
  <c r="S30" i="5"/>
  <c r="L30" i="4"/>
  <c r="O30" i="4"/>
  <c r="W30" i="4" s="1"/>
  <c r="S29" i="5"/>
  <c r="L29" i="4"/>
  <c r="N29" i="4"/>
  <c r="O29" i="4" s="1"/>
  <c r="W29" i="4" s="1"/>
  <c r="L28" i="4"/>
  <c r="O28" i="4"/>
  <c r="W28" i="4" s="1"/>
  <c r="N4" i="5"/>
  <c r="O6" i="5"/>
  <c r="R6" i="5" s="1"/>
  <c r="P23" i="5"/>
  <c r="O5" i="5"/>
  <c r="O9" i="5"/>
  <c r="R9" i="5" s="1"/>
  <c r="N8" i="5"/>
  <c r="Q8" i="5" s="1"/>
  <c r="O13" i="5"/>
  <c r="R13" i="5" s="1"/>
  <c r="N12" i="5"/>
  <c r="Q12" i="5" s="1"/>
  <c r="N18" i="5"/>
  <c r="Q18" i="5" s="1"/>
  <c r="O19" i="5"/>
  <c r="R19" i="5" s="1"/>
  <c r="N19" i="5"/>
  <c r="Q19" i="5" s="1"/>
  <c r="O20" i="5"/>
  <c r="R20" i="5" s="1"/>
  <c r="O21" i="5"/>
  <c r="R21" i="5" s="1"/>
  <c r="N20" i="5"/>
  <c r="Q20" i="5" s="1"/>
  <c r="O22" i="5"/>
  <c r="R22" i="5" s="1"/>
  <c r="N21" i="5"/>
  <c r="Q21" i="5" s="1"/>
  <c r="N22" i="5"/>
  <c r="Q22" i="5" s="1"/>
  <c r="O23" i="5"/>
  <c r="R23" i="5" s="1"/>
  <c r="O24" i="5"/>
  <c r="R24" i="5" s="1"/>
  <c r="N23" i="5"/>
  <c r="Q23" i="5" s="1"/>
  <c r="O25" i="5"/>
  <c r="R25" i="5" s="1"/>
  <c r="N24" i="5"/>
  <c r="Q24" i="5" s="1"/>
  <c r="O26" i="5"/>
  <c r="R26" i="5" s="1"/>
  <c r="N25" i="5"/>
  <c r="Q25" i="5" s="1"/>
  <c r="N26" i="5"/>
  <c r="Q26" i="5" s="1"/>
  <c r="R27" i="5"/>
  <c r="N27" i="5"/>
  <c r="Q27" i="5" s="1"/>
  <c r="O7" i="5"/>
  <c r="N6" i="5"/>
  <c r="Q6" i="5" s="1"/>
  <c r="O11" i="5"/>
  <c r="R11" i="5" s="1"/>
  <c r="N10" i="5"/>
  <c r="Q10" i="5" s="1"/>
  <c r="N3" i="5"/>
  <c r="O4" i="5"/>
  <c r="O15" i="5"/>
  <c r="R15" i="5" s="1"/>
  <c r="N14" i="5"/>
  <c r="Q14" i="5" s="1"/>
  <c r="R14" i="5"/>
  <c r="N13" i="5"/>
  <c r="Q13" i="5" s="1"/>
  <c r="O8" i="5"/>
  <c r="R8" i="5" s="1"/>
  <c r="N7" i="5"/>
  <c r="P4" i="5"/>
  <c r="P5" i="5"/>
  <c r="P6" i="5"/>
  <c r="P7" i="5"/>
  <c r="P8" i="5"/>
  <c r="P9" i="5"/>
  <c r="P10" i="5"/>
  <c r="P11" i="5"/>
  <c r="P12" i="5"/>
  <c r="P13" i="5"/>
  <c r="P14" i="5"/>
  <c r="P15" i="5"/>
  <c r="P16" i="5"/>
  <c r="P17" i="5"/>
  <c r="N5" i="5"/>
  <c r="Q5" i="5" s="1"/>
  <c r="O10" i="5"/>
  <c r="R10" i="5" s="1"/>
  <c r="N9" i="5"/>
  <c r="Q9" i="5" s="1"/>
  <c r="O12" i="5"/>
  <c r="R12" i="5" s="1"/>
  <c r="N11" i="5"/>
  <c r="Q11" i="5" s="1"/>
  <c r="O16" i="5"/>
  <c r="R16" i="5" s="1"/>
  <c r="N15" i="5"/>
  <c r="Q15" i="5" s="1"/>
  <c r="O17" i="5"/>
  <c r="R17" i="5" s="1"/>
  <c r="N16" i="5"/>
  <c r="Q16" i="5" s="1"/>
  <c r="N17" i="5"/>
  <c r="Q17" i="5" s="1"/>
  <c r="O18" i="5"/>
  <c r="R18" i="5" s="1"/>
  <c r="P18" i="5"/>
  <c r="P19" i="5"/>
  <c r="P20" i="5"/>
  <c r="P21" i="5"/>
  <c r="P22" i="5"/>
  <c r="P24" i="5"/>
  <c r="P25" i="5"/>
  <c r="P26" i="5"/>
  <c r="P27" i="5"/>
  <c r="L27" i="4"/>
  <c r="O27" i="4"/>
  <c r="W27" i="4" s="1"/>
  <c r="S19" i="4"/>
  <c r="L25" i="4"/>
  <c r="M26" i="4"/>
  <c r="N26" i="4"/>
  <c r="U26" i="4"/>
  <c r="O25" i="4"/>
  <c r="W25" i="4" s="1"/>
  <c r="T26" i="4"/>
  <c r="S26" i="4"/>
  <c r="N24" i="4"/>
  <c r="L24" i="4"/>
  <c r="L23" i="4"/>
  <c r="M24" i="4"/>
  <c r="O24" i="4" s="1"/>
  <c r="N23" i="4"/>
  <c r="O23" i="4" s="1"/>
  <c r="W23" i="4" s="1"/>
  <c r="T24" i="4"/>
  <c r="V24" i="4"/>
  <c r="L22" i="4"/>
  <c r="N22" i="4"/>
  <c r="W22" i="4" s="1"/>
  <c r="N21" i="4"/>
  <c r="L21" i="4"/>
  <c r="L20" i="4"/>
  <c r="M21" i="4"/>
  <c r="U21" i="4"/>
  <c r="N20" i="4"/>
  <c r="O20" i="4" s="1"/>
  <c r="W20" i="4" s="1"/>
  <c r="T21" i="4"/>
  <c r="V21" i="4"/>
  <c r="L19" i="4"/>
  <c r="M19" i="4"/>
  <c r="N19" i="4"/>
  <c r="O18" i="4"/>
  <c r="W18" i="4" s="1"/>
  <c r="T19" i="4"/>
  <c r="L16" i="4"/>
  <c r="L17" i="4"/>
  <c r="N16" i="4"/>
  <c r="O16" i="4" s="1"/>
  <c r="W16" i="4" s="1"/>
  <c r="T17" i="4"/>
  <c r="V17" i="4"/>
  <c r="L14" i="4"/>
  <c r="L13" i="4"/>
  <c r="L12" i="4"/>
  <c r="L11" i="4"/>
  <c r="L10" i="4"/>
  <c r="L9" i="4"/>
  <c r="L8" i="4"/>
  <c r="L15" i="4"/>
  <c r="N5" i="4"/>
  <c r="U6" i="4"/>
  <c r="S7" i="4"/>
  <c r="N9" i="4"/>
  <c r="O9" i="4" s="1"/>
  <c r="U10" i="4"/>
  <c r="S11" i="4"/>
  <c r="N13" i="4"/>
  <c r="U14" i="4"/>
  <c r="S15" i="4"/>
  <c r="U7" i="4"/>
  <c r="N14" i="4"/>
  <c r="Q32" i="4"/>
  <c r="T4" i="4"/>
  <c r="R32" i="4"/>
  <c r="U4" i="4"/>
  <c r="L5" i="4"/>
  <c r="M6" i="4"/>
  <c r="T11" i="4"/>
  <c r="T15" i="4"/>
  <c r="N10" i="4"/>
  <c r="T8" i="4"/>
  <c r="T12" i="4"/>
  <c r="S8" i="4"/>
  <c r="S12" i="4"/>
  <c r="S5" i="4"/>
  <c r="S9" i="4"/>
  <c r="N11" i="4"/>
  <c r="U12" i="4"/>
  <c r="S13" i="4"/>
  <c r="N15" i="4"/>
  <c r="N6" i="4"/>
  <c r="U11" i="4"/>
  <c r="T5" i="4"/>
  <c r="T9" i="4"/>
  <c r="T13" i="4"/>
  <c r="N4" i="4"/>
  <c r="U5" i="4"/>
  <c r="S6" i="4"/>
  <c r="N8" i="4"/>
  <c r="U9" i="4"/>
  <c r="S10" i="4"/>
  <c r="N12" i="4"/>
  <c r="U13" i="4"/>
  <c r="S14" i="4"/>
  <c r="U15" i="4"/>
  <c r="S4" i="4"/>
  <c r="P32" i="4"/>
  <c r="M5" i="4"/>
  <c r="T6" i="4"/>
  <c r="T10" i="4"/>
  <c r="T14" i="4"/>
  <c r="B7" i="1"/>
  <c r="D36" i="3"/>
  <c r="D35" i="3"/>
  <c r="D33" i="3"/>
  <c r="D32" i="3"/>
  <c r="D9" i="3"/>
  <c r="D10" i="3"/>
  <c r="D11" i="3"/>
  <c r="D17" i="3"/>
  <c r="D18" i="3"/>
  <c r="D19" i="3"/>
  <c r="D25" i="3"/>
  <c r="D26" i="3"/>
  <c r="D27" i="3"/>
  <c r="C4" i="3"/>
  <c r="D4" i="3" s="1"/>
  <c r="C5" i="3"/>
  <c r="D5" i="3" s="1"/>
  <c r="C6" i="3"/>
  <c r="D6" i="3" s="1"/>
  <c r="C7" i="3"/>
  <c r="D7" i="3" s="1"/>
  <c r="C8" i="3"/>
  <c r="D8" i="3" s="1"/>
  <c r="C9" i="3"/>
  <c r="C10" i="3"/>
  <c r="C11" i="3"/>
  <c r="C12" i="3"/>
  <c r="D12" i="3" s="1"/>
  <c r="C13" i="3"/>
  <c r="D13" i="3" s="1"/>
  <c r="C14" i="3"/>
  <c r="D14" i="3" s="1"/>
  <c r="C15" i="3"/>
  <c r="D15" i="3" s="1"/>
  <c r="C16" i="3"/>
  <c r="D16" i="3" s="1"/>
  <c r="C17" i="3"/>
  <c r="C18" i="3"/>
  <c r="C19" i="3"/>
  <c r="C20" i="3"/>
  <c r="D20" i="3" s="1"/>
  <c r="C21" i="3"/>
  <c r="D21" i="3" s="1"/>
  <c r="C22" i="3"/>
  <c r="D22" i="3" s="1"/>
  <c r="C23" i="3"/>
  <c r="D23" i="3" s="1"/>
  <c r="C24" i="3"/>
  <c r="D24" i="3" s="1"/>
  <c r="C25" i="3"/>
  <c r="C26" i="3"/>
  <c r="C27" i="3"/>
  <c r="C28" i="3"/>
  <c r="D28" i="3" s="1"/>
  <c r="C29" i="3"/>
  <c r="D29" i="3" s="1"/>
  <c r="C30" i="3"/>
  <c r="D30" i="3" s="1"/>
  <c r="C3" i="3"/>
  <c r="D3" i="3" s="1"/>
  <c r="S32" i="5" l="1"/>
  <c r="S21" i="5"/>
  <c r="S9" i="5"/>
  <c r="S25" i="5"/>
  <c r="S26" i="5"/>
  <c r="S22" i="5"/>
  <c r="S24" i="5"/>
  <c r="S20" i="5"/>
  <c r="S23" i="5"/>
  <c r="Q32" i="5"/>
  <c r="S5" i="5"/>
  <c r="S11" i="5"/>
  <c r="S13" i="5"/>
  <c r="S14" i="5"/>
  <c r="S7" i="5"/>
  <c r="S6" i="5"/>
  <c r="S12" i="5"/>
  <c r="P32" i="5"/>
  <c r="S10" i="5"/>
  <c r="S17" i="5"/>
  <c r="S18" i="5"/>
  <c r="S16" i="5"/>
  <c r="S8" i="5"/>
  <c r="S15" i="5"/>
  <c r="S27" i="5"/>
  <c r="S19" i="5"/>
  <c r="S4" i="5"/>
  <c r="V26" i="4"/>
  <c r="O26" i="4"/>
  <c r="W26" i="4" s="1"/>
  <c r="W24" i="4"/>
  <c r="O21" i="4"/>
  <c r="W21" i="4"/>
  <c r="V19" i="4"/>
  <c r="O19" i="4"/>
  <c r="M32" i="4"/>
  <c r="O17" i="4"/>
  <c r="W17" i="4" s="1"/>
  <c r="V10" i="4"/>
  <c r="O11" i="4"/>
  <c r="O5" i="4"/>
  <c r="O6" i="4"/>
  <c r="O13" i="4"/>
  <c r="O4" i="4"/>
  <c r="V5" i="4"/>
  <c r="O10" i="4"/>
  <c r="V11" i="4"/>
  <c r="O12" i="4"/>
  <c r="V13" i="4"/>
  <c r="V4" i="4"/>
  <c r="S32" i="4"/>
  <c r="V14" i="4"/>
  <c r="N32" i="4"/>
  <c r="O15" i="4"/>
  <c r="U32" i="4"/>
  <c r="V7" i="4"/>
  <c r="V6" i="4"/>
  <c r="O8" i="4"/>
  <c r="V9" i="4"/>
  <c r="W9" i="4" s="1"/>
  <c r="V12" i="4"/>
  <c r="O14" i="4"/>
  <c r="V8" i="4"/>
  <c r="T32" i="4"/>
  <c r="V15" i="4"/>
  <c r="R32" i="5" l="1"/>
  <c r="W19" i="4"/>
  <c r="W10" i="4"/>
  <c r="W11" i="4"/>
  <c r="W13" i="4"/>
  <c r="W5" i="4"/>
  <c r="W6" i="4"/>
  <c r="W12" i="4"/>
  <c r="V32" i="4"/>
  <c r="W15" i="4"/>
  <c r="W14" i="4"/>
  <c r="O32" i="4"/>
  <c r="W4" i="4"/>
  <c r="W8" i="4"/>
  <c r="W7" i="4"/>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 i="2"/>
  <c r="S10" i="2"/>
  <c r="R12" i="2"/>
  <c r="S12" i="2"/>
  <c r="K4" i="2"/>
  <c r="L27" i="2"/>
  <c r="K12" i="2"/>
  <c r="L17" i="2"/>
  <c r="Q5" i="2"/>
  <c r="Q3" i="2"/>
  <c r="S14" i="2"/>
  <c r="R13" i="2"/>
  <c r="Q8" i="2"/>
  <c r="S4" i="2"/>
  <c r="Q13" i="2"/>
  <c r="K5" i="2"/>
  <c r="R6" i="2"/>
  <c r="Q18" i="2"/>
  <c r="K11" i="2"/>
  <c r="L25" i="2"/>
  <c r="K15" i="2"/>
  <c r="S25" i="2"/>
  <c r="K8" i="2"/>
  <c r="R20" i="2"/>
  <c r="Q23" i="2"/>
  <c r="Q15" i="2"/>
  <c r="Q10" i="2"/>
  <c r="R26" i="2"/>
  <c r="L20" i="2"/>
  <c r="Q14" i="2"/>
  <c r="L28" i="2"/>
  <c r="R23" i="2"/>
  <c r="L12" i="2"/>
  <c r="R30" i="2"/>
  <c r="R11" i="2"/>
  <c r="K6" i="2"/>
  <c r="Q19" i="2"/>
  <c r="Q4" i="2"/>
  <c r="L16" i="2"/>
  <c r="R18" i="2"/>
  <c r="K23" i="2"/>
  <c r="Q26" i="2"/>
  <c r="S22" i="2"/>
  <c r="Q27" i="2"/>
  <c r="K22" i="2"/>
  <c r="Q30" i="2"/>
  <c r="K20" i="2"/>
  <c r="L18" i="2"/>
  <c r="L21" i="2"/>
  <c r="S18" i="2"/>
  <c r="Q16" i="2"/>
  <c r="K13" i="2"/>
  <c r="Q11" i="2"/>
  <c r="L6" i="2"/>
  <c r="L24" i="2"/>
  <c r="L10" i="2"/>
  <c r="L19" i="2"/>
  <c r="R9" i="2"/>
  <c r="K19" i="2"/>
  <c r="R27" i="2"/>
  <c r="R4" i="2"/>
  <c r="R19" i="2"/>
  <c r="Q29" i="2"/>
  <c r="K7" i="2"/>
  <c r="K28" i="2"/>
  <c r="S28" i="2"/>
  <c r="K30" i="2"/>
  <c r="S8" i="2"/>
  <c r="L4" i="2"/>
  <c r="S3" i="2"/>
  <c r="K21" i="2"/>
  <c r="S6" i="2"/>
  <c r="Q22" i="2"/>
  <c r="K29" i="2"/>
  <c r="R5" i="2"/>
  <c r="K9" i="2"/>
  <c r="L23" i="2"/>
  <c r="S23" i="2"/>
  <c r="L7" i="2"/>
  <c r="R14" i="2"/>
  <c r="Q6" i="2"/>
  <c r="L5" i="2"/>
  <c r="S16" i="2"/>
  <c r="Q12" i="2"/>
  <c r="L29" i="2"/>
  <c r="L8" i="2"/>
  <c r="R22" i="2"/>
  <c r="Q28" i="2"/>
  <c r="R16" i="2"/>
  <c r="Q9" i="2"/>
  <c r="R10" i="2"/>
  <c r="K18" i="2"/>
  <c r="L11" i="2"/>
  <c r="K16" i="2"/>
  <c r="S5" i="2"/>
  <c r="Q7" i="2"/>
  <c r="Q25" i="2"/>
  <c r="R15" i="2"/>
  <c r="Q24" i="2"/>
  <c r="K24" i="2"/>
  <c r="S19" i="2"/>
  <c r="Q21" i="2"/>
  <c r="S11" i="2"/>
  <c r="R28" i="2"/>
  <c r="S21" i="2"/>
  <c r="K25" i="2"/>
  <c r="S30" i="2"/>
  <c r="S17" i="2"/>
  <c r="R17" i="2"/>
  <c r="R3" i="2"/>
  <c r="K14" i="2"/>
  <c r="K10" i="2"/>
  <c r="R24" i="2"/>
  <c r="R29" i="2"/>
  <c r="K26" i="2"/>
  <c r="S9" i="2"/>
  <c r="S27" i="2"/>
  <c r="R21" i="2"/>
  <c r="K27" i="2"/>
  <c r="R7" i="2"/>
  <c r="L30" i="2"/>
  <c r="L14" i="2"/>
  <c r="R8" i="2"/>
  <c r="S29" i="2"/>
  <c r="S7" i="2"/>
  <c r="S24" i="2"/>
  <c r="Q17" i="2"/>
  <c r="K17" i="2"/>
  <c r="L9" i="2"/>
  <c r="R25" i="2"/>
  <c r="S15" i="2"/>
  <c r="L26" i="2"/>
  <c r="L22" i="2"/>
  <c r="S13" i="2"/>
  <c r="Q20" i="2"/>
  <c r="S26" i="2"/>
  <c r="L13" i="2"/>
  <c r="K3" i="2"/>
  <c r="L15" i="2"/>
  <c r="S20" i="2"/>
  <c r="T18" i="2" l="1"/>
  <c r="V31" i="2"/>
  <c r="N31" i="2"/>
  <c r="T4" i="2"/>
  <c r="W32" i="4"/>
  <c r="U5" i="2"/>
  <c r="V5" i="2"/>
  <c r="T5" i="2"/>
  <c r="M30" i="2"/>
  <c r="M5" i="2"/>
  <c r="M3" i="2"/>
  <c r="M4" i="2"/>
  <c r="O27" i="2"/>
  <c r="O19" i="2"/>
  <c r="O11" i="2"/>
  <c r="O26" i="2"/>
  <c r="O18" i="2"/>
  <c r="O10" i="2"/>
  <c r="O25" i="2"/>
  <c r="O17" i="2"/>
  <c r="O9" i="2"/>
  <c r="O24" i="2"/>
  <c r="O16" i="2"/>
  <c r="O8" i="2"/>
  <c r="O23" i="2"/>
  <c r="O15" i="2"/>
  <c r="O7" i="2"/>
  <c r="O30" i="2"/>
  <c r="O22" i="2"/>
  <c r="O14" i="2"/>
  <c r="O6" i="2"/>
  <c r="O29" i="2"/>
  <c r="O21" i="2"/>
  <c r="O13" i="2"/>
  <c r="O5" i="2"/>
  <c r="O28" i="2"/>
  <c r="O20" i="2"/>
  <c r="O12" i="2"/>
  <c r="O4" i="2"/>
  <c r="M26" i="2"/>
  <c r="N27" i="2"/>
  <c r="M18" i="2"/>
  <c r="N19" i="2"/>
  <c r="N11" i="2"/>
  <c r="M10" i="2"/>
  <c r="M25" i="2"/>
  <c r="N26" i="2"/>
  <c r="M17" i="2"/>
  <c r="N18" i="2"/>
  <c r="M9" i="2"/>
  <c r="N10" i="2"/>
  <c r="M24" i="2"/>
  <c r="N25" i="2"/>
  <c r="M16" i="2"/>
  <c r="N17" i="2"/>
  <c r="N9" i="2"/>
  <c r="M8" i="2"/>
  <c r="N24" i="2"/>
  <c r="M23" i="2"/>
  <c r="N16" i="2"/>
  <c r="M15" i="2"/>
  <c r="N8" i="2"/>
  <c r="M7" i="2"/>
  <c r="N23" i="2"/>
  <c r="M22" i="2"/>
  <c r="N15" i="2"/>
  <c r="M14" i="2"/>
  <c r="N7" i="2"/>
  <c r="M6" i="2"/>
  <c r="M27" i="2"/>
  <c r="N28" i="2"/>
  <c r="M19" i="2"/>
  <c r="N20" i="2"/>
  <c r="M11" i="2"/>
  <c r="N12" i="2"/>
  <c r="N30" i="2"/>
  <c r="M29" i="2"/>
  <c r="N22" i="2"/>
  <c r="M21" i="2"/>
  <c r="M13" i="2"/>
  <c r="N14" i="2"/>
  <c r="N6" i="2"/>
  <c r="N29" i="2"/>
  <c r="M28" i="2"/>
  <c r="M20" i="2"/>
  <c r="N21" i="2"/>
  <c r="M12" i="2"/>
  <c r="N13" i="2"/>
  <c r="N5" i="2"/>
  <c r="R32" i="2"/>
  <c r="U4" i="2"/>
  <c r="U28" i="2"/>
  <c r="U20" i="2"/>
  <c r="U12" i="2"/>
  <c r="U11" i="2"/>
  <c r="U25" i="2"/>
  <c r="U17" i="2"/>
  <c r="U9" i="2"/>
  <c r="U10" i="2"/>
  <c r="U24" i="2"/>
  <c r="U16" i="2"/>
  <c r="U8" i="2"/>
  <c r="U18" i="2"/>
  <c r="U31" i="2"/>
  <c r="U23" i="2"/>
  <c r="U15" i="2"/>
  <c r="U7" i="2"/>
  <c r="U27" i="2"/>
  <c r="U30" i="2"/>
  <c r="U22" i="2"/>
  <c r="U14" i="2"/>
  <c r="U6" i="2"/>
  <c r="U19" i="2"/>
  <c r="U26" i="2"/>
  <c r="U29" i="2"/>
  <c r="U21" i="2"/>
  <c r="U13" i="2"/>
  <c r="S32" i="2"/>
  <c r="V4" i="2"/>
  <c r="V28" i="2"/>
  <c r="V20" i="2"/>
  <c r="V12" i="2"/>
  <c r="V27" i="2"/>
  <c r="V19" i="2"/>
  <c r="V11" i="2"/>
  <c r="V26" i="2"/>
  <c r="V18" i="2"/>
  <c r="V10" i="2"/>
  <c r="V25" i="2"/>
  <c r="V17" i="2"/>
  <c r="V9" i="2"/>
  <c r="V24" i="2"/>
  <c r="V16" i="2"/>
  <c r="V8" i="2"/>
  <c r="V23" i="2"/>
  <c r="V15" i="2"/>
  <c r="V7" i="2"/>
  <c r="V30" i="2"/>
  <c r="V22" i="2"/>
  <c r="V14" i="2"/>
  <c r="V6" i="2"/>
  <c r="V29" i="2"/>
  <c r="V21" i="2"/>
  <c r="V13" i="2"/>
  <c r="Q32" i="2"/>
  <c r="T28" i="2"/>
  <c r="T20" i="2"/>
  <c r="T12" i="2"/>
  <c r="T27" i="2"/>
  <c r="T19" i="2"/>
  <c r="T11" i="2"/>
  <c r="T10" i="2"/>
  <c r="T26" i="2"/>
  <c r="T25" i="2"/>
  <c r="T17" i="2"/>
  <c r="T9" i="2"/>
  <c r="T24" i="2"/>
  <c r="T16" i="2"/>
  <c r="T8" i="2"/>
  <c r="T31" i="2"/>
  <c r="T23" i="2"/>
  <c r="T15" i="2"/>
  <c r="T7" i="2"/>
  <c r="T30" i="2"/>
  <c r="T14" i="2"/>
  <c r="T6" i="2"/>
  <c r="T22" i="2"/>
  <c r="T29" i="2"/>
  <c r="T21" i="2"/>
  <c r="T13" i="2"/>
  <c r="O31" i="2"/>
  <c r="W4" i="2" l="1"/>
  <c r="N32" i="2"/>
  <c r="P29" i="2"/>
  <c r="P20" i="2"/>
  <c r="P8" i="2"/>
  <c r="W9" i="2"/>
  <c r="P11" i="2"/>
  <c r="P6" i="2"/>
  <c r="P16" i="2"/>
  <c r="W10" i="2"/>
  <c r="W27" i="2"/>
  <c r="W7" i="2"/>
  <c r="P15" i="2"/>
  <c r="W21" i="2"/>
  <c r="W23" i="2"/>
  <c r="W28" i="2"/>
  <c r="P23" i="2"/>
  <c r="P21" i="2"/>
  <c r="P18" i="2"/>
  <c r="W17" i="2"/>
  <c r="P13" i="2"/>
  <c r="P10" i="2"/>
  <c r="W29" i="2"/>
  <c r="W31" i="2"/>
  <c r="W26" i="2"/>
  <c r="P28" i="2"/>
  <c r="P27" i="2"/>
  <c r="P22" i="2"/>
  <c r="P9" i="2"/>
  <c r="W8" i="2"/>
  <c r="W11" i="2"/>
  <c r="P17" i="2"/>
  <c r="W14" i="2"/>
  <c r="P30" i="2"/>
  <c r="W5" i="2"/>
  <c r="W12" i="2"/>
  <c r="W25" i="2"/>
  <c r="P24" i="2"/>
  <c r="T32" i="2"/>
  <c r="W22" i="2"/>
  <c r="W18" i="2"/>
  <c r="P31" i="2"/>
  <c r="W6" i="2"/>
  <c r="U32" i="2"/>
  <c r="P26" i="2"/>
  <c r="W16" i="2"/>
  <c r="W19" i="2"/>
  <c r="P7" i="2"/>
  <c r="P4" i="2"/>
  <c r="W30" i="2"/>
  <c r="W24" i="2"/>
  <c r="P12" i="2"/>
  <c r="P25" i="2"/>
  <c r="O32" i="2"/>
  <c r="V32" i="2"/>
  <c r="P5" i="2"/>
  <c r="W13" i="2"/>
  <c r="W15" i="2"/>
  <c r="W20" i="2"/>
  <c r="P14" i="2"/>
  <c r="P19" i="2"/>
  <c r="X4" i="2" l="1"/>
  <c r="X29" i="2"/>
  <c r="X20" i="2"/>
  <c r="X27" i="2"/>
  <c r="X8" i="2"/>
  <c r="X11" i="2"/>
  <c r="X12" i="2"/>
  <c r="X22" i="2"/>
  <c r="X7" i="2"/>
  <c r="X13" i="2"/>
  <c r="X15" i="2"/>
  <c r="X17" i="2"/>
  <c r="X5" i="2"/>
  <c r="X6" i="2"/>
  <c r="X19" i="2"/>
  <c r="X9" i="2"/>
  <c r="X16" i="2"/>
  <c r="X26" i="2"/>
  <c r="X10" i="2"/>
  <c r="X21" i="2"/>
  <c r="X23" i="2"/>
  <c r="X28" i="2"/>
  <c r="X31" i="2"/>
  <c r="X14" i="2"/>
  <c r="X18" i="2"/>
  <c r="X30" i="2"/>
  <c r="P32" i="2"/>
  <c r="W32" i="2"/>
  <c r="X25" i="2"/>
  <c r="X24" i="2"/>
  <c r="X32" i="2" l="1"/>
  <c r="E5" i="2" l="1"/>
  <c r="E7" i="2"/>
  <c r="E8" i="2"/>
  <c r="E9" i="2"/>
  <c r="E10" i="2"/>
  <c r="E11" i="2"/>
  <c r="E12" i="2"/>
  <c r="E13" i="2"/>
  <c r="E14" i="2"/>
  <c r="E15" i="2"/>
  <c r="E16" i="2"/>
  <c r="E17" i="2"/>
  <c r="E18" i="2"/>
  <c r="E19" i="2"/>
  <c r="E20" i="2"/>
  <c r="E21" i="2"/>
  <c r="E22" i="2"/>
  <c r="E23" i="2"/>
  <c r="E24" i="2"/>
  <c r="E25" i="2"/>
  <c r="E26" i="2"/>
  <c r="E27" i="2"/>
  <c r="E28" i="2"/>
  <c r="E29" i="2"/>
  <c r="E30" i="2"/>
  <c r="E31" i="2"/>
  <c r="D3" i="2"/>
  <c r="E10" i="1"/>
  <c r="F6" i="1"/>
  <c r="E8" i="1"/>
  <c r="E6" i="1"/>
  <c r="F5" i="1"/>
  <c r="E9" i="1"/>
  <c r="F7" i="1"/>
  <c r="F8" i="1"/>
  <c r="E7" i="1"/>
  <c r="E5" i="1"/>
  <c r="F10" i="1"/>
  <c r="F9" i="1"/>
</calcChain>
</file>

<file path=xl/sharedStrings.xml><?xml version="1.0" encoding="utf-8"?>
<sst xmlns="http://schemas.openxmlformats.org/spreadsheetml/2006/main" count="217" uniqueCount="138">
  <si>
    <t xml:space="preserve">Trade Date </t>
    <phoneticPr fontId="1" type="noConversion"/>
  </si>
  <si>
    <t>Parameters</t>
    <phoneticPr fontId="1" type="noConversion"/>
  </si>
  <si>
    <t>Stock Price</t>
    <phoneticPr fontId="1" type="noConversion"/>
  </si>
  <si>
    <t>Strike Price</t>
    <phoneticPr fontId="1" type="noConversion"/>
  </si>
  <si>
    <t>Time to Expiry</t>
    <phoneticPr fontId="1" type="noConversion"/>
  </si>
  <si>
    <t>Risk Free Rate</t>
    <phoneticPr fontId="1" type="noConversion"/>
  </si>
  <si>
    <t>Remarks</t>
    <phoneticPr fontId="1" type="noConversion"/>
  </si>
  <si>
    <t>All inputs are annulaized numbers</t>
    <phoneticPr fontId="1" type="noConversion"/>
  </si>
  <si>
    <t>Call Option Expiry Date</t>
    <phoneticPr fontId="1" type="noConversion"/>
  </si>
  <si>
    <t>Reference</t>
    <phoneticPr fontId="1" type="noConversion"/>
  </si>
  <si>
    <t xml:space="preserve">1. Rf </t>
    <phoneticPr fontId="1" type="noConversion"/>
  </si>
  <si>
    <t>https://ycharts.com/indicators/1_month_treasury_rate</t>
  </si>
  <si>
    <t>Annual Dividend Yield</t>
    <phoneticPr fontId="1" type="noConversion"/>
  </si>
  <si>
    <t>2. His Volatility</t>
    <phoneticPr fontId="1" type="noConversion"/>
  </si>
  <si>
    <t>Call</t>
    <phoneticPr fontId="1" type="noConversion"/>
  </si>
  <si>
    <t>Put</t>
    <phoneticPr fontId="1" type="noConversion"/>
  </si>
  <si>
    <t>Option Price</t>
    <phoneticPr fontId="1" type="noConversion"/>
  </si>
  <si>
    <t>Theoretical Results</t>
    <phoneticPr fontId="1" type="noConversion"/>
  </si>
  <si>
    <t>Market</t>
    <phoneticPr fontId="1" type="noConversion"/>
  </si>
  <si>
    <t>Delta</t>
    <phoneticPr fontId="1" type="noConversion"/>
  </si>
  <si>
    <t>Gamma</t>
    <phoneticPr fontId="1" type="noConversion"/>
  </si>
  <si>
    <t>Theta</t>
    <phoneticPr fontId="1" type="noConversion"/>
  </si>
  <si>
    <t>Vega</t>
    <phoneticPr fontId="1" type="noConversion"/>
  </si>
  <si>
    <t>Rho</t>
    <phoneticPr fontId="1" type="noConversion"/>
  </si>
  <si>
    <t>Predicted Volatility(Used Historical)</t>
    <phoneticPr fontId="1" type="noConversion"/>
  </si>
  <si>
    <t>Assume Volatility will have mean reversion</t>
    <phoneticPr fontId="1" type="noConversion"/>
  </si>
  <si>
    <t>Observation</t>
    <phoneticPr fontId="1" type="noConversion"/>
  </si>
  <si>
    <t>The equation calculating Theata here also consider the impact of dividend payout ratio p.a.</t>
    <phoneticPr fontId="1" type="noConversion"/>
  </si>
  <si>
    <t>3. Theta Formulas</t>
    <phoneticPr fontId="1" type="noConversion"/>
  </si>
  <si>
    <t>https://www.macroption.com/black-scholes-excel/</t>
  </si>
  <si>
    <t>Historical volatility</t>
    <phoneticPr fontId="1" type="noConversion"/>
  </si>
  <si>
    <t>Market IV</t>
    <phoneticPr fontId="1" type="noConversion"/>
  </si>
  <si>
    <t>Pnl of delta hedging a Call option</t>
  </si>
  <si>
    <t>Stock Price</t>
  </si>
  <si>
    <t>Strike Price</t>
  </si>
  <si>
    <t>Time to Expiry</t>
  </si>
  <si>
    <t>Predicted Volatility(Used Historical)</t>
  </si>
  <si>
    <t>Risk Free Rate</t>
  </si>
  <si>
    <t>Annual Dividend Yield</t>
  </si>
  <si>
    <t>Option Portfolio</t>
    <phoneticPr fontId="1" type="noConversion"/>
  </si>
  <si>
    <t>Option Type</t>
    <phoneticPr fontId="1" type="noConversion"/>
  </si>
  <si>
    <t>No. of Options</t>
    <phoneticPr fontId="1" type="noConversion"/>
  </si>
  <si>
    <t>Realized Volatility</t>
    <phoneticPr fontId="1" type="noConversion"/>
  </si>
  <si>
    <t>Bottom</t>
    <phoneticPr fontId="1" type="noConversion"/>
  </si>
  <si>
    <t>Top</t>
    <phoneticPr fontId="1" type="noConversion"/>
  </si>
  <si>
    <t>4. Greeks Formula and Explanation</t>
    <phoneticPr fontId="1" type="noConversion"/>
  </si>
  <si>
    <t>1. Historical IV</t>
    <phoneticPr fontId="1" type="noConversion"/>
  </si>
  <si>
    <t>https://www.alphaquery.com/stock/AAPL/volatility-option-statistics/30-day/iv-put</t>
  </si>
  <si>
    <t>IV Simulation (Over the past 5 Years, call options, 30d, IV)</t>
    <phoneticPr fontId="1" type="noConversion"/>
  </si>
  <si>
    <t>C</t>
    <phoneticPr fontId="1" type="noConversion"/>
  </si>
  <si>
    <t>Changing Input</t>
    <phoneticPr fontId="1" type="noConversion"/>
  </si>
  <si>
    <t>Fixed Input</t>
    <phoneticPr fontId="1" type="noConversion"/>
  </si>
  <si>
    <t>S</t>
    <phoneticPr fontId="1" type="noConversion"/>
  </si>
  <si>
    <t>IV</t>
    <phoneticPr fontId="1" type="noConversion"/>
  </si>
  <si>
    <t>Days</t>
    <phoneticPr fontId="1" type="noConversion"/>
  </si>
  <si>
    <t>S % Change</t>
    <phoneticPr fontId="1" type="noConversion"/>
  </si>
  <si>
    <t>Option Value</t>
    <phoneticPr fontId="1" type="noConversion"/>
  </si>
  <si>
    <t>Option Delta</t>
    <phoneticPr fontId="1" type="noConversion"/>
  </si>
  <si>
    <t>Total</t>
    <phoneticPr fontId="1" type="noConversion"/>
  </si>
  <si>
    <t>Delta Hedge</t>
    <phoneticPr fontId="1" type="noConversion"/>
  </si>
  <si>
    <t>Delta Hedge pnl</t>
    <phoneticPr fontId="1" type="noConversion"/>
  </si>
  <si>
    <t xml:space="preserve">Option pnl </t>
    <phoneticPr fontId="1" type="noConversion"/>
  </si>
  <si>
    <t>Total pnl</t>
    <phoneticPr fontId="1" type="noConversion"/>
  </si>
  <si>
    <t>pnl</t>
    <phoneticPr fontId="1" type="noConversion"/>
  </si>
  <si>
    <t>Greeks</t>
    <phoneticPr fontId="1" type="noConversion"/>
  </si>
  <si>
    <t>$Gamma</t>
    <phoneticPr fontId="1" type="noConversion"/>
  </si>
  <si>
    <t>$Theta</t>
    <phoneticPr fontId="1" type="noConversion"/>
  </si>
  <si>
    <t>$Vega</t>
    <phoneticPr fontId="1" type="noConversion"/>
  </si>
  <si>
    <t xml:space="preserve">Theta </t>
    <phoneticPr fontId="1" type="noConversion"/>
  </si>
  <si>
    <t>Yet-explained pnl</t>
    <phoneticPr fontId="1" type="noConversion"/>
  </si>
  <si>
    <t>http://www.pnlexplained.com/PEP_PnL_Explained_FAQ.html</t>
  </si>
  <si>
    <t>5. Pnl explanation</t>
    <phoneticPr fontId="1" type="noConversion"/>
  </si>
  <si>
    <t>https://www.optiontradingtips.com/greeks/gamma.html</t>
    <phoneticPr fontId="1" type="noConversion"/>
  </si>
  <si>
    <t>pnl attribution</t>
    <phoneticPr fontId="1" type="noConversion"/>
  </si>
  <si>
    <t>1. The markte bid price for call, put options are lower than our theorectical price which means the market predicting a lower IV than the historical mean after the next one month</t>
    <phoneticPr fontId="1" type="noConversion"/>
  </si>
  <si>
    <t>3. For day 2, IV unchange, Delta is hedged, while the UA price is moved, so pnl comes from the Gamma and Theta majorly</t>
    <phoneticPr fontId="1" type="noConversion"/>
  </si>
  <si>
    <t>4. For Col K, we can compare different option values to the first page one, see the difference when S, IV, and T change</t>
    <phoneticPr fontId="1" type="noConversion"/>
  </si>
  <si>
    <t>T(Remaining)</t>
    <phoneticPr fontId="1" type="noConversion"/>
  </si>
  <si>
    <t>std</t>
    <phoneticPr fontId="1" type="noConversion"/>
  </si>
  <si>
    <t>Variacne</t>
    <phoneticPr fontId="1" type="noConversion"/>
  </si>
  <si>
    <t>Realized Variance in T</t>
    <phoneticPr fontId="1" type="noConversion"/>
  </si>
  <si>
    <t>Realized Std(Volatility) in T</t>
    <phoneticPr fontId="1" type="noConversion"/>
  </si>
  <si>
    <t>Number of days</t>
    <phoneticPr fontId="1" type="noConversion"/>
  </si>
  <si>
    <t>Annualized realized variance</t>
    <phoneticPr fontId="1" type="noConversion"/>
  </si>
  <si>
    <t>Annualized realized Std</t>
    <phoneticPr fontId="1" type="noConversion"/>
  </si>
  <si>
    <t>https://www.wallstreetmojo.com/realized-volatility/</t>
  </si>
  <si>
    <t>9. We can see that we assume the interests rate and IV during the option life is unchanged</t>
    <phoneticPr fontId="1" type="noConversion"/>
  </si>
  <si>
    <t xml:space="preserve">10. suppose Greeks have majorly 4 types, but we hedged the Delta, so we already counted it in the final pnl. So we will only use 3 Greeks to explain the pnl </t>
    <phoneticPr fontId="1" type="noConversion"/>
  </si>
  <si>
    <t>2. Gamma pnl</t>
    <phoneticPr fontId="1" type="noConversion"/>
  </si>
  <si>
    <t>http://sp-finance.e-monsite.com/pages/variance-swaps/replication-and-hedging/delta-hedging-gamma-and-dollar-gamma-1.html#</t>
  </si>
  <si>
    <t>https://www.barchart.com/stocks/quotes/AAPL%7C20220715%7C130.00C/price-history/historical</t>
  </si>
  <si>
    <t>6. Source of Price and IV daily</t>
    <phoneticPr fontId="1" type="noConversion"/>
  </si>
  <si>
    <t>Dates</t>
    <phoneticPr fontId="1" type="noConversion"/>
  </si>
  <si>
    <t>12. In reality, only count trading dates, it means the holiday, weekend will not have price change since the option market not openned</t>
    <phoneticPr fontId="1" type="noConversion"/>
  </si>
  <si>
    <t>1. Assume price is unchanged for non-traing dates</t>
    <phoneticPr fontId="1" type="noConversion"/>
  </si>
  <si>
    <t>13. for the delta hedge part, if long call has positive delta, then the delta hedge part of it has opposite delta, negative delta, will have positive pnl if price drop, and else versa</t>
    <phoneticPr fontId="1" type="noConversion"/>
  </si>
  <si>
    <t xml:space="preserve">Target Profit </t>
    <phoneticPr fontId="1" type="noConversion"/>
  </si>
  <si>
    <t>4. The Theo price is a probability adjusted estimation of the St. Look at the d1, it is a conditional probi that estimating different St starting from &gt;= K, to higher, then take the average St, discounted back as the price. Or can be treated as the cost of ticket to play this bet</t>
    <phoneticPr fontId="1" type="noConversion"/>
  </si>
  <si>
    <t>5. So the final value of the call option can be higher or lower 6.21, of course can be higher or lower than our entry cost 5.85. To reach the avg estimation, we need to play the bet as many time as possible</t>
    <phoneticPr fontId="1" type="noConversion"/>
  </si>
  <si>
    <t>0.# This model doesn’t contain the Market price of option, so cant cal target delta hedge pnl</t>
    <phoneticPr fontId="1" type="noConversion"/>
  </si>
  <si>
    <t>Remarks:</t>
    <phoneticPr fontId="1" type="noConversion"/>
  </si>
  <si>
    <t>2. BSM assumes volatility and interests rate remain constant during the life of option</t>
    <phoneticPr fontId="1" type="noConversion"/>
  </si>
  <si>
    <t>1. This model doesn’t not contain the variation pnl and carrying pnl. While in reality, how to get credit and debit in the bank acct daily?</t>
    <phoneticPr fontId="1" type="noConversion"/>
  </si>
  <si>
    <t>Delta Hedge pnl(Adjustment pnl)</t>
    <phoneticPr fontId="1" type="noConversion"/>
  </si>
  <si>
    <t>Option pnl (original hedge pnl)</t>
    <phoneticPr fontId="1" type="noConversion"/>
  </si>
  <si>
    <t>carrying cost</t>
    <phoneticPr fontId="1" type="noConversion"/>
  </si>
  <si>
    <t>variation cost</t>
    <phoneticPr fontId="1" type="noConversion"/>
  </si>
  <si>
    <t>Option price_Mkt</t>
    <phoneticPr fontId="1" type="noConversion"/>
  </si>
  <si>
    <t>Option Delta_Mkt</t>
    <phoneticPr fontId="1" type="noConversion"/>
  </si>
  <si>
    <t>realized volatility</t>
    <phoneticPr fontId="1" type="noConversion"/>
  </si>
  <si>
    <t>theo input volatility</t>
    <phoneticPr fontId="1" type="noConversion"/>
  </si>
  <si>
    <t>Mkt predicted IV</t>
    <phoneticPr fontId="1" type="noConversion"/>
  </si>
  <si>
    <t>Variance</t>
    <phoneticPr fontId="1" type="noConversion"/>
  </si>
  <si>
    <t>3. If big IV increase happen in the early stage of the option life, can have bigger value even the average IV is the same, so it is also path dependent?</t>
    <phoneticPr fontId="1" type="noConversion"/>
  </si>
  <si>
    <t>Since it turns out the realized volatilty is much smaller than both market and my expectation, so the TPM strategy records a loss</t>
    <phoneticPr fontId="1" type="noConversion"/>
  </si>
  <si>
    <t>or it should say since the IV market used to price the option is lower than our assumption, so actual option price is cheaper than our estimattion</t>
    <phoneticPr fontId="1" type="noConversion"/>
  </si>
  <si>
    <t>you can pay the average cost to bet, it may higher or lower than the average estimattion, the estimated St is a point estimator +- margin of error, so it is a normal distribution, and can have confidence level, and therefore significance, like 95% will be within...</t>
    <phoneticPr fontId="1" type="noConversion"/>
  </si>
  <si>
    <t>6. Since we are longing a call option, which will always have positive Gamma(Min is 0, not negative), and Negative Theta, which means as long as the UA price moved, it has positive value. E.g. if it moves upward, $Gamma will contribute to the option's instrinsic value, if goes downward, option's prevent the negative loss of the position apart from the option premium</t>
    <phoneticPr fontId="1" type="noConversion"/>
  </si>
  <si>
    <r>
      <t>11. For col T, Gamma pnl is actually 50 $</t>
    </r>
    <r>
      <rPr>
        <sz val="11"/>
        <color theme="1"/>
        <rFont val="新細明體"/>
        <family val="2"/>
        <charset val="136"/>
      </rPr>
      <t>Γ</t>
    </r>
    <r>
      <rPr>
        <sz val="11"/>
        <color theme="1"/>
        <rFont val="新細明體"/>
        <family val="2"/>
        <scheme val="minor"/>
      </rPr>
      <t xml:space="preserve"> x (%price change)^2, just a different writing format</t>
    </r>
    <phoneticPr fontId="1" type="noConversion"/>
  </si>
  <si>
    <t>stock price change use Ln(new/previous) to assume the change is continuous, same as the interests rate</t>
    <phoneticPr fontId="1" type="noConversion"/>
  </si>
  <si>
    <t>std</t>
    <phoneticPr fontId="1" type="noConversion"/>
  </si>
  <si>
    <t>15. to cal the IV, we assume the data we have is a sample not a poppulation</t>
    <phoneticPr fontId="1" type="noConversion"/>
  </si>
  <si>
    <t>https://www.macroption.com/black-scholes-formula/</t>
    <phoneticPr fontId="1" type="noConversion"/>
  </si>
  <si>
    <t>2. Can use Solver to find out the market's implied volatility, which will be a bit different with the online source, like Investing.com's data</t>
    <phoneticPr fontId="1" type="noConversion"/>
  </si>
  <si>
    <t>https://volafy.net/equity/AAPL</t>
    <phoneticPr fontId="1" type="noConversion"/>
  </si>
  <si>
    <t>3. According to the Historical IV(mean 43.12%), the current IV(39.8%) is below the mean, need to figure out any catalyst ahead to determine long or short future volatility through Delta hedge</t>
    <phoneticPr fontId="1" type="noConversion"/>
  </si>
  <si>
    <t>1. Observe Col N, if consecutive loss occurs, it may lead to margin call, or additional capital to short underlying assets to fulfill the delta hedge, so making sure there is enough capital ready to use is important. I don’t want margin call, or sudden capital requirement, so make sure the position size, and do stress testing of consecutive loss happen. (Loss here means, in this case, I hold call option, having positive Delta, so when UA price goes up, my call option position has favors since delta goes higher, while delta hedge position has unfavor, since it always opposes to option position, loss mean when the short selling delta hedging position having loss over the budget. More remark, call option doesnt need to worry about margin call, while short selling position through selling UA, needs. e.g. short sell 100, now 120, leverage 2x, then, if the account capital lower than (100-120)/2=10, margin call</t>
    <phoneticPr fontId="1" type="noConversion"/>
  </si>
  <si>
    <t>2. When IV drops a lot, the option value drops a lot too, which majorly comes from Vega. Remark, the change of option value due to Vega is bigger during the early part of option. It denotes that the impact of IV on the option values drop when time pass. Extereme case, during the last day of option life, IV of the next day is useless, no impact on the option value</t>
    <phoneticPr fontId="1" type="noConversion"/>
  </si>
  <si>
    <t>7. It can have infinite Greeks to explain the pnl. Remark, from geo perspective, derivative n times mean finding the rate of change of slope n times</t>
    <phoneticPr fontId="1" type="noConversion"/>
  </si>
  <si>
    <t>8. From the Gamma graph, can see Gamma is the biggest at ATM, when is no time left, because at the money, even a samll change of the price movement can have large change of the Delta. Remark, from the perspective of geo graph, Gamma is describing the rate of change of the slope of Delta, Delta has biggest slope at ATM, so Gamma is biggest at ATM. Delta will reach highest as 1 when deeply OTM, has the same trait of UA, but with a decreasing rate, so the slope is decreasing during this process, so the Gamma is smaller when deviating from ATM</t>
    <phoneticPr fontId="1" type="noConversion"/>
  </si>
  <si>
    <t>realzied std during option life vs expected volatility</t>
    <phoneticPr fontId="1" type="noConversion"/>
  </si>
  <si>
    <t>1. Assume price is unchanged for non-trading dates</t>
    <phoneticPr fontId="1" type="noConversion"/>
  </si>
  <si>
    <t>Sometimes, even similar, if the path doesn’t favor us, like Gamma and Vega has bigger impact at the beginning rather than the end, so we wants fluctuated movement, and rising IV to happen as soon as possible</t>
    <phoneticPr fontId="1" type="noConversion"/>
  </si>
  <si>
    <t xml:space="preserve">Althouhg positive return of holding this call option since UA price went up, while the profit is smaller than we expected since the realized volatility turns out to be smaller than our expectation. </t>
    <phoneticPr fontId="1" type="noConversion"/>
  </si>
  <si>
    <t>For another perspective, we delta hedged to not participate in the directional betting of the UA, so we are just betting on the volatility during the option life which determines our final pnl. And for this case, we overestimate the volatility, make a wrong decision to hold call option based on this wrong assumption, and have loss at last</t>
    <phoneticPr fontId="1" type="noConversion"/>
  </si>
  <si>
    <t>what worths attention is the relationship between the rv and the final pnl</t>
    <phoneticPr fontId="1" type="noConversion"/>
  </si>
  <si>
    <t>fina pnl comes from the difference of actual variance and model variance, times with dollar gamma, while dollar is path dependent, which means the same average dollar gamma during the option life can have different series of dollar Gamma for each day, and therefore the Gamma pnl will be different</t>
    <phoneticPr fontId="1" type="noConversion"/>
  </si>
  <si>
    <t>So although most of the time, rv&gt;iv in model will result in positive final pnl, and if rv&lt;iv will result in negative final pnl, for some chances, not big, but have chances positive pnl for rv&lt;iv , else versa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</si>
</sst>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76" formatCode="&quot;$&quot;#,##0.00;[Red]\-&quot;$&quot;#,##0.00"/>
    <numFmt numFmtId="177" formatCode="_(* #,##0_);_(* \(#,##0\);_(* &quot;-&quot;??_);_(@_)"/>
    <numFmt numFmtId="178" formatCode="0.0%"/>
    <numFmt numFmtId="179" formatCode="_(&quot;$&quot;* #,##0_);_(&quot;$&quot;* \(#,##0\);_(&quot;$&quot;* &quot;-&quot;??_);_(@_)"/>
    <numFmt numFmtId="180" formatCode="&quot;$&quot;#,##0.000;[Red]\-&quot;$&quot;#,##0.000"/>
    <numFmt numFmtId="181" formatCode="0.00_);[Red]\(0.00\)"/>
    <numFmt numFmtId="182" formatCode="0.00_ "/>
    <numFmt numFmtId="183" formatCode="0_ "/>
  </numFmts>
  <fonts count="14" x14ac:knownFonts="1">
    <font>
      <sz val="11"/>
      <color theme="1"/>
      <name val="新細明體"/>
      <family val="2"/>
      <scheme val="minor"/>
    </font>
    <font>
      <sz val="9"/>
      <name val="新細明體"/>
      <family val="3"/>
      <charset val="136"/>
      <scheme val="minor"/>
    </font>
    <font>
      <b/>
      <sz val="11"/>
      <color theme="1"/>
      <name val="新細明體"/>
      <family val="1"/>
      <charset val="136"/>
      <scheme val="minor"/>
    </font>
    <font>
      <sz val="11"/>
      <color theme="1"/>
      <name val="新細明體"/>
      <family val="2"/>
      <scheme val="minor"/>
    </font>
    <font>
      <sz val="10"/>
      <name val="Arial"/>
      <family val="2"/>
    </font>
    <font>
      <u/>
      <sz val="11"/>
      <color theme="10"/>
      <name val="新細明體"/>
      <family val="2"/>
      <scheme val="minor"/>
    </font>
    <font>
      <sz val="11"/>
      <color rgb="FFFF0000"/>
      <name val="新細明體"/>
      <family val="2"/>
      <scheme val="minor"/>
    </font>
    <font>
      <sz val="11"/>
      <color theme="1"/>
      <name val="Arial"/>
      <family val="2"/>
    </font>
    <font>
      <sz val="11"/>
      <color theme="4"/>
      <name val="新細明體"/>
      <family val="1"/>
      <charset val="136"/>
      <scheme val="minor"/>
    </font>
    <font>
      <b/>
      <sz val="15"/>
      <color theme="4"/>
      <name val="新細明體"/>
      <family val="1"/>
      <charset val="136"/>
      <scheme val="minor"/>
    </font>
    <font>
      <b/>
      <sz val="10"/>
      <name val="Arial"/>
      <family val="2"/>
    </font>
    <font>
      <b/>
      <sz val="11"/>
      <color theme="1"/>
      <name val="Arial"/>
      <family val="2"/>
    </font>
    <font>
      <sz val="11"/>
      <color rgb="FF000000"/>
      <name val="新細明體"/>
      <family val="1"/>
      <charset val="136"/>
    </font>
    <font>
      <sz val="11"/>
      <color theme="1"/>
      <name val="新細明體"/>
      <family val="2"/>
      <charset val="136"/>
    </font>
  </fonts>
  <fills count="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8" tint="0.79998168889431442"/>
        <bgColor indexed="64"/>
      </patternFill>
    </fill>
    <fill>
      <patternFill patternType="solid">
        <fgColor theme="9" tint="0.59999389629810485"/>
        <bgColor indexed="64"/>
      </patternFill>
    </fill>
  </fills>
  <borders count="6">
    <border>
      <left/>
      <right/>
      <top/>
      <bottom/>
      <diagonal/>
    </border>
    <border>
      <left/>
      <right style="medium">
        <color indexed="64"/>
      </right>
      <top/>
      <bottom/>
      <diagonal/>
    </border>
    <border>
      <left style="medium">
        <color indexed="64"/>
      </left>
      <right/>
      <top/>
      <bottom/>
      <diagonal/>
    </border>
    <border>
      <left/>
      <right style="thick">
        <color auto="1"/>
      </right>
      <top/>
      <bottom/>
      <diagonal/>
    </border>
    <border>
      <left style="thick">
        <color auto="1"/>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44" fontId="3" fillId="0" borderId="0" applyFont="0" applyFill="0" applyBorder="0" applyAlignment="0" applyProtection="0">
      <alignment vertical="center"/>
    </xf>
    <xf numFmtId="9" fontId="3" fillId="0" borderId="0" applyFont="0" applyFill="0" applyBorder="0" applyAlignment="0" applyProtection="0">
      <alignment vertical="center"/>
    </xf>
    <xf numFmtId="0" fontId="5" fillId="0" borderId="0" applyNumberFormat="0" applyFill="0" applyBorder="0" applyAlignment="0" applyProtection="0"/>
    <xf numFmtId="43" fontId="3" fillId="0" borderId="0" applyFont="0" applyFill="0" applyBorder="0" applyAlignment="0" applyProtection="0">
      <alignment vertical="center"/>
    </xf>
  </cellStyleXfs>
  <cellXfs count="82">
    <xf numFmtId="0" fontId="0" fillId="0" borderId="0" xfId="0"/>
    <xf numFmtId="0" fontId="2" fillId="2" borderId="0" xfId="0" applyFont="1" applyFill="1"/>
    <xf numFmtId="0" fontId="0" fillId="2" borderId="0" xfId="0" applyFill="1"/>
    <xf numFmtId="2" fontId="0" fillId="2" borderId="0" xfId="0" applyNumberFormat="1" applyFill="1"/>
    <xf numFmtId="10" fontId="0" fillId="2" borderId="0" xfId="0" applyNumberFormat="1" applyFill="1"/>
    <xf numFmtId="0" fontId="0" fillId="3" borderId="0" xfId="0" applyFill="1"/>
    <xf numFmtId="0" fontId="0" fillId="4" borderId="0" xfId="0" applyFill="1"/>
    <xf numFmtId="0" fontId="2" fillId="3" borderId="0" xfId="0" applyFont="1" applyFill="1"/>
    <xf numFmtId="0" fontId="2" fillId="4" borderId="0" xfId="0" applyFont="1" applyFill="1"/>
    <xf numFmtId="0" fontId="0" fillId="0" borderId="0" xfId="0" applyAlignment="1">
      <alignment wrapText="1"/>
    </xf>
    <xf numFmtId="2" fontId="0" fillId="3" borderId="0" xfId="0" applyNumberFormat="1" applyFill="1"/>
    <xf numFmtId="0" fontId="0" fillId="0" borderId="0" xfId="0" applyAlignment="1">
      <alignment horizontal="left" vertical="center" wrapText="1"/>
    </xf>
    <xf numFmtId="10" fontId="0" fillId="0" borderId="0" xfId="0" applyNumberFormat="1"/>
    <xf numFmtId="0" fontId="4" fillId="0" borderId="0" xfId="0" applyFont="1"/>
    <xf numFmtId="0" fontId="0" fillId="5" borderId="0" xfId="0" applyFill="1"/>
    <xf numFmtId="9" fontId="0" fillId="2" borderId="0" xfId="0" applyNumberFormat="1" applyFill="1"/>
    <xf numFmtId="9" fontId="0" fillId="5" borderId="0" xfId="0" applyNumberFormat="1" applyFill="1"/>
    <xf numFmtId="0" fontId="2" fillId="5" borderId="0" xfId="0" applyFont="1" applyFill="1" applyAlignment="1">
      <alignment horizontal="left" vertical="top" wrapText="1"/>
    </xf>
    <xf numFmtId="0" fontId="0" fillId="6" borderId="0" xfId="0" applyFill="1"/>
    <xf numFmtId="2" fontId="0" fillId="0" borderId="0" xfId="0" applyNumberFormat="1"/>
    <xf numFmtId="0" fontId="0" fillId="0" borderId="1" xfId="0" applyBorder="1"/>
    <xf numFmtId="9" fontId="0" fillId="0" borderId="1" xfId="2" applyFont="1" applyBorder="1" applyAlignment="1"/>
    <xf numFmtId="10" fontId="0" fillId="0" borderId="0" xfId="2" applyNumberFormat="1" applyFont="1" applyAlignment="1"/>
    <xf numFmtId="44" fontId="0" fillId="0" borderId="0" xfId="1" applyFont="1" applyAlignment="1"/>
    <xf numFmtId="10" fontId="6" fillId="2" borderId="0" xfId="2" applyNumberFormat="1" applyFont="1" applyFill="1" applyAlignment="1"/>
    <xf numFmtId="10" fontId="6" fillId="2" borderId="0" xfId="0" applyNumberFormat="1" applyFont="1" applyFill="1"/>
    <xf numFmtId="44" fontId="0" fillId="0" borderId="0" xfId="1" applyFont="1" applyBorder="1" applyAlignment="1"/>
    <xf numFmtId="176" fontId="0" fillId="0" borderId="1" xfId="0" applyNumberFormat="1" applyBorder="1"/>
    <xf numFmtId="176" fontId="0" fillId="0" borderId="0" xfId="1" applyNumberFormat="1" applyFont="1" applyAlignment="1"/>
    <xf numFmtId="176" fontId="0" fillId="0" borderId="1" xfId="1" applyNumberFormat="1" applyFont="1" applyBorder="1" applyAlignment="1"/>
    <xf numFmtId="176" fontId="0" fillId="0" borderId="2" xfId="1" applyNumberFormat="1" applyFont="1" applyBorder="1" applyAlignment="1"/>
    <xf numFmtId="176" fontId="0" fillId="0" borderId="0" xfId="1" applyNumberFormat="1" applyFont="1" applyBorder="1" applyAlignment="1"/>
    <xf numFmtId="176" fontId="0" fillId="0" borderId="0" xfId="0" applyNumberFormat="1"/>
    <xf numFmtId="0" fontId="5" fillId="0" borderId="0" xfId="3"/>
    <xf numFmtId="0" fontId="8" fillId="5" borderId="0" xfId="0" applyFont="1" applyFill="1"/>
    <xf numFmtId="44" fontId="8" fillId="5" borderId="0" xfId="0" applyNumberFormat="1" applyFont="1" applyFill="1" applyBorder="1"/>
    <xf numFmtId="176" fontId="8" fillId="5" borderId="0" xfId="0" applyNumberFormat="1" applyFont="1" applyFill="1"/>
    <xf numFmtId="0" fontId="9" fillId="5" borderId="0" xfId="0" applyFont="1" applyFill="1"/>
    <xf numFmtId="0" fontId="11" fillId="8" borderId="0" xfId="0" applyFont="1" applyFill="1"/>
    <xf numFmtId="0" fontId="7" fillId="0" borderId="0" xfId="0" applyFont="1"/>
    <xf numFmtId="0" fontId="7" fillId="0" borderId="1" xfId="0" applyFont="1" applyBorder="1"/>
    <xf numFmtId="0" fontId="7" fillId="0" borderId="0" xfId="0" applyFont="1" applyFill="1" applyBorder="1"/>
    <xf numFmtId="0" fontId="7" fillId="0" borderId="1" xfId="0" applyFont="1" applyFill="1" applyBorder="1"/>
    <xf numFmtId="0" fontId="0" fillId="0" borderId="0" xfId="0" applyAlignment="1">
      <alignment horizontal="left" vertical="center" wrapText="1"/>
    </xf>
    <xf numFmtId="0" fontId="0" fillId="0" borderId="5" xfId="0" applyBorder="1"/>
    <xf numFmtId="15" fontId="0" fillId="0" borderId="5" xfId="0" applyNumberFormat="1" applyBorder="1"/>
    <xf numFmtId="10" fontId="0" fillId="0" borderId="5" xfId="0" applyNumberFormat="1" applyBorder="1"/>
    <xf numFmtId="0" fontId="2" fillId="0" borderId="0" xfId="0" applyFont="1"/>
    <xf numFmtId="177" fontId="0" fillId="2" borderId="0" xfId="4" applyNumberFormat="1" applyFont="1" applyFill="1" applyAlignment="1"/>
    <xf numFmtId="0" fontId="11" fillId="7" borderId="0" xfId="0" applyFont="1" applyFill="1"/>
    <xf numFmtId="0" fontId="11" fillId="7" borderId="0" xfId="0" applyFont="1" applyFill="1" applyBorder="1"/>
    <xf numFmtId="0" fontId="11" fillId="7" borderId="1" xfId="0" applyFont="1" applyFill="1" applyBorder="1"/>
    <xf numFmtId="9" fontId="0" fillId="0" borderId="0" xfId="2" applyFont="1" applyAlignment="1"/>
    <xf numFmtId="178" fontId="0" fillId="0" borderId="0" xfId="2" applyNumberFormat="1" applyFont="1" applyAlignment="1"/>
    <xf numFmtId="0" fontId="0" fillId="0" borderId="0" xfId="0" applyFill="1"/>
    <xf numFmtId="15" fontId="0" fillId="0" borderId="0" xfId="0" applyNumberFormat="1" applyFill="1"/>
    <xf numFmtId="0" fontId="0" fillId="0" borderId="0" xfId="0" applyAlignment="1">
      <alignment vertical="center"/>
    </xf>
    <xf numFmtId="0" fontId="7" fillId="0" borderId="3" xfId="0" applyFont="1" applyBorder="1"/>
    <xf numFmtId="10" fontId="0" fillId="0" borderId="3" xfId="0" applyNumberFormat="1" applyBorder="1" applyAlignment="1">
      <alignment vertical="center"/>
    </xf>
    <xf numFmtId="179" fontId="0" fillId="3" borderId="0" xfId="1" applyNumberFormat="1" applyFont="1" applyFill="1" applyAlignment="1"/>
    <xf numFmtId="180" fontId="8" fillId="5" borderId="0" xfId="0" applyNumberFormat="1" applyFont="1" applyFill="1"/>
    <xf numFmtId="181" fontId="0" fillId="0" borderId="0" xfId="0" applyNumberFormat="1" applyAlignment="1">
      <alignment vertical="center"/>
    </xf>
    <xf numFmtId="181" fontId="0" fillId="0" borderId="0" xfId="1" applyNumberFormat="1" applyFont="1" applyBorder="1" applyAlignment="1"/>
    <xf numFmtId="181" fontId="8" fillId="5" borderId="0" xfId="0" applyNumberFormat="1" applyFont="1" applyFill="1"/>
    <xf numFmtId="0" fontId="11" fillId="6" borderId="0" xfId="0" applyFont="1" applyFill="1" applyBorder="1" applyAlignment="1">
      <alignment horizontal="center"/>
    </xf>
    <xf numFmtId="182" fontId="0" fillId="0" borderId="0" xfId="0" applyNumberFormat="1"/>
    <xf numFmtId="183" fontId="0" fillId="0" borderId="0" xfId="0" applyNumberFormat="1"/>
    <xf numFmtId="1" fontId="0" fillId="0" borderId="0" xfId="0" applyNumberFormat="1"/>
    <xf numFmtId="0" fontId="0" fillId="0" borderId="0" xfId="0" applyAlignment="1">
      <alignment horizontal="left" vertical="center" wrapText="1"/>
    </xf>
    <xf numFmtId="0" fontId="11" fillId="3" borderId="0" xfId="0" applyFont="1" applyFill="1" applyBorder="1" applyAlignment="1">
      <alignment horizontal="center"/>
    </xf>
    <xf numFmtId="0" fontId="11" fillId="3" borderId="1" xfId="0" applyFont="1" applyFill="1" applyBorder="1" applyAlignment="1">
      <alignment horizontal="center"/>
    </xf>
    <xf numFmtId="0" fontId="11" fillId="4" borderId="0" xfId="0" applyFont="1" applyFill="1" applyBorder="1" applyAlignment="1">
      <alignment horizontal="center"/>
    </xf>
    <xf numFmtId="0" fontId="11" fillId="4" borderId="1" xfId="0" applyFont="1" applyFill="1" applyBorder="1" applyAlignment="1">
      <alignment horizontal="center"/>
    </xf>
    <xf numFmtId="0" fontId="11" fillId="4" borderId="2" xfId="0" applyFont="1" applyFill="1" applyBorder="1" applyAlignment="1">
      <alignment horizontal="center"/>
    </xf>
    <xf numFmtId="0" fontId="10" fillId="5" borderId="0" xfId="0" applyFont="1" applyFill="1" applyAlignment="1">
      <alignment horizontal="center" vertical="center"/>
    </xf>
    <xf numFmtId="0" fontId="11" fillId="5" borderId="0" xfId="0" applyFont="1" applyFill="1" applyAlignment="1">
      <alignment horizontal="center" vertical="center"/>
    </xf>
    <xf numFmtId="0" fontId="11" fillId="5" borderId="3" xfId="0" applyFont="1" applyFill="1" applyBorder="1" applyAlignment="1">
      <alignment horizontal="center" vertical="center"/>
    </xf>
    <xf numFmtId="0" fontId="11" fillId="7" borderId="4" xfId="0" applyFont="1" applyFill="1" applyBorder="1" applyAlignment="1">
      <alignment horizontal="center"/>
    </xf>
    <xf numFmtId="0" fontId="11" fillId="7" borderId="0" xfId="0" applyFont="1" applyFill="1" applyBorder="1" applyAlignment="1">
      <alignment horizontal="center"/>
    </xf>
    <xf numFmtId="0" fontId="11" fillId="7" borderId="1" xfId="0" applyFont="1" applyFill="1" applyBorder="1" applyAlignment="1">
      <alignment horizontal="center"/>
    </xf>
    <xf numFmtId="0" fontId="11" fillId="4" borderId="3" xfId="0" applyFont="1" applyFill="1" applyBorder="1" applyAlignment="1">
      <alignment horizontal="center"/>
    </xf>
    <xf numFmtId="179" fontId="0" fillId="0" borderId="0" xfId="1" applyNumberFormat="1" applyFont="1" applyAlignment="1"/>
  </cellXfs>
  <cellStyles count="5">
    <cellStyle name="Comma" xfId="4" builtinId="3"/>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$Theta change</a:t>
            </a:r>
            <a:r>
              <a:rPr lang="en-US" altLang="zh-TW" baseline="0"/>
              <a:t> with T</a:t>
            </a:r>
            <a:endParaRPr lang="en-US" altLang="zh-TW"/>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lineChart>
        <c:grouping val="standard"/>
        <c:varyColors val="0"/>
        <c:ser>
          <c:idx val="0"/>
          <c:order val="0"/>
          <c:tx>
            <c:strRef>
              <c:f>'Case_RV&gt;IV'!$R$2</c:f>
              <c:strCache>
                <c:ptCount val="1"/>
                <c:pt idx="0">
                  <c:v>$Theta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xmlns:c15="http://schemas.microsoft.com/office/drawing/2012/chart" uri="{02D57815-91ED-43cb-92C2-25804820EDAC}">
                  <c15:fullRef>
                    <c15:sqref>'Case_RV&gt;IV'!$J$3:$J$31</c15:sqref>
                  </c15:fullRef>
                </c:ext>
              </c:extLst>
              <c:f>'Case_RV&gt;IV'!$J$4:$J$31</c:f>
              <c:numCache>
                <c:formatCode>0.00</c:formatCode>
                <c:ptCount val="28"/>
                <c:pt idx="0">
                  <c:v>7.3972602739726029E-2</c:v>
                </c:pt>
                <c:pt idx="1">
                  <c:v>7.1232876712328766E-2</c:v>
                </c:pt>
                <c:pt idx="2">
                  <c:v>6.8493150684931517E-2</c:v>
                </c:pt>
                <c:pt idx="3">
                  <c:v>6.5753424657534254E-2</c:v>
                </c:pt>
                <c:pt idx="4">
                  <c:v>6.3013698630136991E-2</c:v>
                </c:pt>
                <c:pt idx="5">
                  <c:v>6.0273972602739728E-2</c:v>
                </c:pt>
                <c:pt idx="6">
                  <c:v>5.7534246575342465E-2</c:v>
                </c:pt>
                <c:pt idx="7">
                  <c:v>5.4794520547945209E-2</c:v>
                </c:pt>
                <c:pt idx="8">
                  <c:v>5.2054794520547953E-2</c:v>
                </c:pt>
                <c:pt idx="9">
                  <c:v>4.9315068493150691E-2</c:v>
                </c:pt>
                <c:pt idx="10">
                  <c:v>4.6575342465753428E-2</c:v>
                </c:pt>
                <c:pt idx="11">
                  <c:v>4.3835616438356172E-2</c:v>
                </c:pt>
                <c:pt idx="12">
                  <c:v>4.1095890410958909E-2</c:v>
                </c:pt>
                <c:pt idx="13">
                  <c:v>3.8356164383561646E-2</c:v>
                </c:pt>
                <c:pt idx="14">
                  <c:v>3.561643835616439E-2</c:v>
                </c:pt>
                <c:pt idx="15">
                  <c:v>3.2876712328767127E-2</c:v>
                </c:pt>
                <c:pt idx="16">
                  <c:v>3.0136986301369864E-2</c:v>
                </c:pt>
                <c:pt idx="17">
                  <c:v>2.7397260273972608E-2</c:v>
                </c:pt>
                <c:pt idx="18">
                  <c:v>2.4657534246575345E-2</c:v>
                </c:pt>
                <c:pt idx="19">
                  <c:v>2.1917808219178089E-2</c:v>
                </c:pt>
                <c:pt idx="20">
                  <c:v>1.9178082191780826E-2</c:v>
                </c:pt>
                <c:pt idx="21">
                  <c:v>1.6438356164383564E-2</c:v>
                </c:pt>
                <c:pt idx="22">
                  <c:v>1.3698630136986301E-2</c:v>
                </c:pt>
                <c:pt idx="23">
                  <c:v>1.0958904109589052E-2</c:v>
                </c:pt>
                <c:pt idx="24">
                  <c:v>8.2191780821917887E-3</c:v>
                </c:pt>
                <c:pt idx="25">
                  <c:v>5.4794520547945258E-3</c:v>
                </c:pt>
                <c:pt idx="26">
                  <c:v>2.7397260273972629E-3</c:v>
                </c:pt>
                <c:pt idx="27">
                  <c:v>0</c:v>
                </c:pt>
              </c:numCache>
            </c:numRef>
          </c:cat>
          <c:val>
            <c:numRef>
              <c:extLst>
                <c:ext xmlns:c15="http://schemas.microsoft.com/office/drawing/2012/chart" uri="{02D57815-91ED-43cb-92C2-25804820EDAC}">
                  <c15:fullRef>
                    <c15:sqref>'Case_RV&gt;IV'!$R$3:$R$30</c15:sqref>
                  </c15:fullRef>
                </c:ext>
              </c:extLst>
              <c:f>'Case_RV&gt;IV'!$R$4:$R$30</c:f>
              <c:numCache>
                <c:formatCode>"$"#,##0.00;[Red]\-"$"#,##0.00</c:formatCode>
                <c:ptCount val="27"/>
                <c:pt idx="0">
                  <c:v>-158.30826759130449</c:v>
                </c:pt>
                <c:pt idx="1">
                  <c:v>-188.14916209507609</c:v>
                </c:pt>
                <c:pt idx="2">
                  <c:v>-162.08552305575589</c:v>
                </c:pt>
                <c:pt idx="3">
                  <c:v>-36.18707479166229</c:v>
                </c:pt>
                <c:pt idx="4">
                  <c:v>-166.43879653288627</c:v>
                </c:pt>
                <c:pt idx="5">
                  <c:v>-58.171256810241907</c:v>
                </c:pt>
                <c:pt idx="6">
                  <c:v>-202.66629196969595</c:v>
                </c:pt>
                <c:pt idx="7">
                  <c:v>-132.73968184698256</c:v>
                </c:pt>
                <c:pt idx="8">
                  <c:v>-67.976345449334062</c:v>
                </c:pt>
                <c:pt idx="9">
                  <c:v>-31.60424646331532</c:v>
                </c:pt>
                <c:pt idx="10">
                  <c:v>-141.03839675557089</c:v>
                </c:pt>
                <c:pt idx="11">
                  <c:v>-134.66280218834592</c:v>
                </c:pt>
                <c:pt idx="12">
                  <c:v>-125.3101543045891</c:v>
                </c:pt>
                <c:pt idx="13">
                  <c:v>-213.09900296100096</c:v>
                </c:pt>
                <c:pt idx="14">
                  <c:v>-17.584775368008284</c:v>
                </c:pt>
                <c:pt idx="15">
                  <c:v>-259.45045754742898</c:v>
                </c:pt>
                <c:pt idx="16">
                  <c:v>-105.94178655178938</c:v>
                </c:pt>
                <c:pt idx="17">
                  <c:v>-65.692839708158289</c:v>
                </c:pt>
                <c:pt idx="18">
                  <c:v>-258.30009067412641</c:v>
                </c:pt>
                <c:pt idx="19">
                  <c:v>-248.92330942570277</c:v>
                </c:pt>
                <c:pt idx="20">
                  <c:v>-384.40710294796639</c:v>
                </c:pt>
                <c:pt idx="21">
                  <c:v>-375.15076190516965</c:v>
                </c:pt>
                <c:pt idx="22">
                  <c:v>-360.53569105672796</c:v>
                </c:pt>
                <c:pt idx="23">
                  <c:v>-60.742575136126483</c:v>
                </c:pt>
                <c:pt idx="24">
                  <c:v>-66.377886082610217</c:v>
                </c:pt>
                <c:pt idx="25">
                  <c:v>-85.56924520518929</c:v>
                </c:pt>
                <c:pt idx="26">
                  <c:v>-23.781844505790147</c:v>
                </c:pt>
              </c:numCache>
            </c:numRef>
          </c:val>
          <c:smooth val="0"/>
          <c:extLst>
            <c:ext xmlns:c16="http://schemas.microsoft.com/office/drawing/2014/chart" uri="{C3380CC4-5D6E-409C-BE32-E72D297353CC}">
              <c16:uniqueId val="{00000000-9D68-4BF6-A724-DB750E3F3791}"/>
            </c:ext>
          </c:extLst>
        </c:ser>
        <c:dLbls>
          <c:showLegendKey val="0"/>
          <c:showVal val="0"/>
          <c:showCatName val="0"/>
          <c:showSerName val="0"/>
          <c:showPercent val="0"/>
          <c:showBubbleSize val="0"/>
        </c:dLbls>
        <c:marker val="1"/>
        <c:smooth val="0"/>
        <c:axId val="536487624"/>
        <c:axId val="536487296"/>
      </c:lineChart>
      <c:catAx>
        <c:axId val="536487624"/>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536487296"/>
        <c:crosses val="autoZero"/>
        <c:auto val="1"/>
        <c:lblAlgn val="ctr"/>
        <c:lblOffset val="100"/>
        <c:noMultiLvlLbl val="0"/>
      </c:catAx>
      <c:valAx>
        <c:axId val="536487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536487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$Gamma Change</a:t>
            </a:r>
            <a:r>
              <a:rPr lang="en-US" altLang="zh-TW" baseline="0"/>
              <a:t> with Spot</a:t>
            </a:r>
            <a:endParaRPr lang="en-US" altLang="zh-TW"/>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lineChart>
        <c:grouping val="standard"/>
        <c:varyColors val="0"/>
        <c:ser>
          <c:idx val="0"/>
          <c:order val="0"/>
          <c:tx>
            <c:strRef>
              <c:f>'Case_RV&gt;IV'!$Q$2</c:f>
              <c:strCache>
                <c:ptCount val="1"/>
                <c:pt idx="0">
                  <c:v>$Gamma</c:v>
                </c:pt>
              </c:strCache>
            </c:strRef>
          </c:tx>
          <c:spPr>
            <a:ln w="28575" cap="rnd">
              <a:solidFill>
                <a:schemeClr val="accent1"/>
              </a:solidFill>
              <a:round/>
            </a:ln>
            <a:effectLst/>
          </c:spPr>
          <c:marker>
            <c:symbol val="none"/>
          </c:marker>
          <c:cat>
            <c:numRef>
              <c:f>'Case_RV&gt;IV'!$G$3:$G$31</c:f>
              <c:numCache>
                <c:formatCode>0.00</c:formatCode>
                <c:ptCount val="29"/>
                <c:pt idx="0">
                  <c:v>130</c:v>
                </c:pt>
                <c:pt idx="1">
                  <c:v>125.20521224331594</c:v>
                </c:pt>
                <c:pt idx="2">
                  <c:v>126.08619273946887</c:v>
                </c:pt>
                <c:pt idx="3">
                  <c:v>126.49800009172128</c:v>
                </c:pt>
                <c:pt idx="4">
                  <c:v>121.80689111887278</c:v>
                </c:pt>
                <c:pt idx="5">
                  <c:v>127.57287723804075</c:v>
                </c:pt>
                <c:pt idx="6">
                  <c:v>130.77720787595291</c:v>
                </c:pt>
                <c:pt idx="7">
                  <c:v>133.56166692606203</c:v>
                </c:pt>
                <c:pt idx="8">
                  <c:v>133.10107484963498</c:v>
                </c:pt>
                <c:pt idx="9">
                  <c:v>126.47528424348155</c:v>
                </c:pt>
                <c:pt idx="10">
                  <c:v>124.49556261415174</c:v>
                </c:pt>
                <c:pt idx="11">
                  <c:v>124.56644948696996</c:v>
                </c:pt>
                <c:pt idx="12">
                  <c:v>129.72498514525023</c:v>
                </c:pt>
                <c:pt idx="13">
                  <c:v>132.36917779200249</c:v>
                </c:pt>
                <c:pt idx="14">
                  <c:v>126.37031016946737</c:v>
                </c:pt>
                <c:pt idx="15">
                  <c:v>124.52863926408058</c:v>
                </c:pt>
                <c:pt idx="16">
                  <c:v>122.82838250931971</c:v>
                </c:pt>
                <c:pt idx="17">
                  <c:v>123.69387867438256</c:v>
                </c:pt>
                <c:pt idx="18">
                  <c:v>124.16964057448881</c:v>
                </c:pt>
                <c:pt idx="19">
                  <c:v>127.36553500967254</c:v>
                </c:pt>
                <c:pt idx="20">
                  <c:v>128.14573152542368</c:v>
                </c:pt>
                <c:pt idx="21">
                  <c:v>130.57504166884976</c:v>
                </c:pt>
                <c:pt idx="22">
                  <c:v>130.55644513918341</c:v>
                </c:pt>
                <c:pt idx="23">
                  <c:v>127.93331259299691</c:v>
                </c:pt>
                <c:pt idx="24">
                  <c:v>126.14340600529871</c:v>
                </c:pt>
                <c:pt idx="25">
                  <c:v>125.41304314961658</c:v>
                </c:pt>
                <c:pt idx="26">
                  <c:v>121.1063976241125</c:v>
                </c:pt>
                <c:pt idx="27">
                  <c:v>126.08624059493701</c:v>
                </c:pt>
                <c:pt idx="28">
                  <c:v>129.18260815900442</c:v>
                </c:pt>
              </c:numCache>
            </c:numRef>
          </c:cat>
          <c:val>
            <c:numRef>
              <c:f>'Case_RV&gt;IV'!$Q$3:$Q$30</c:f>
              <c:numCache>
                <c:formatCode>"$"#,##0.00;[Red]\-"$"#,##0.00</c:formatCode>
                <c:ptCount val="28"/>
                <c:pt idx="0">
                  <c:v>3829.7534363997634</c:v>
                </c:pt>
                <c:pt idx="1">
                  <c:v>2868.6087603487163</c:v>
                </c:pt>
                <c:pt idx="2">
                  <c:v>2576.9979068814828</c:v>
                </c:pt>
                <c:pt idx="3">
                  <c:v>3117.8214808824332</c:v>
                </c:pt>
                <c:pt idx="4">
                  <c:v>4655.4954171659947</c:v>
                </c:pt>
                <c:pt idx="5">
                  <c:v>3374.7890094661057</c:v>
                </c:pt>
                <c:pt idx="6">
                  <c:v>10413.33185575953</c:v>
                </c:pt>
                <c:pt idx="7">
                  <c:v>3138.8486337891404</c:v>
                </c:pt>
                <c:pt idx="8">
                  <c:v>4913.3344094540589</c:v>
                </c:pt>
                <c:pt idx="9">
                  <c:v>8008.3864873259427</c:v>
                </c:pt>
                <c:pt idx="10">
                  <c:v>7070.9751244430363</c:v>
                </c:pt>
                <c:pt idx="11">
                  <c:v>4514.986884419508</c:v>
                </c:pt>
                <c:pt idx="12">
                  <c:v>6213.7772275390253</c:v>
                </c:pt>
                <c:pt idx="13">
                  <c:v>6855.1368654719163</c:v>
                </c:pt>
                <c:pt idx="14">
                  <c:v>4130.4060152431475</c:v>
                </c:pt>
                <c:pt idx="15">
                  <c:v>5675.7918583945766</c:v>
                </c:pt>
                <c:pt idx="16">
                  <c:v>3406.4748533299035</c:v>
                </c:pt>
                <c:pt idx="17">
                  <c:v>5879.2501651720468</c:v>
                </c:pt>
                <c:pt idx="18">
                  <c:v>6689.896298321748</c:v>
                </c:pt>
                <c:pt idx="19">
                  <c:v>5387.5066214164699</c:v>
                </c:pt>
                <c:pt idx="20">
                  <c:v>6428.9604168096421</c:v>
                </c:pt>
                <c:pt idx="21">
                  <c:v>4997.4607236539287</c:v>
                </c:pt>
                <c:pt idx="22">
                  <c:v>5974.5490736168767</c:v>
                </c:pt>
                <c:pt idx="23">
                  <c:v>6976.7820816987542</c:v>
                </c:pt>
                <c:pt idx="24">
                  <c:v>9360.4554804999316</c:v>
                </c:pt>
                <c:pt idx="25">
                  <c:v>6920.2309002294451</c:v>
                </c:pt>
                <c:pt idx="26">
                  <c:v>2345.046069341744</c:v>
                </c:pt>
                <c:pt idx="27">
                  <c:v>2704.0691167590467</c:v>
                </c:pt>
              </c:numCache>
            </c:numRef>
          </c:val>
          <c:smooth val="0"/>
          <c:extLst>
            <c:ext xmlns:c16="http://schemas.microsoft.com/office/drawing/2014/chart" uri="{C3380CC4-5D6E-409C-BE32-E72D297353CC}">
              <c16:uniqueId val="{00000000-33FB-4BE7-8D07-1D0ABFC9308E}"/>
            </c:ext>
          </c:extLst>
        </c:ser>
        <c:dLbls>
          <c:showLegendKey val="0"/>
          <c:showVal val="0"/>
          <c:showCatName val="0"/>
          <c:showSerName val="0"/>
          <c:showPercent val="0"/>
          <c:showBubbleSize val="0"/>
        </c:dLbls>
        <c:smooth val="0"/>
        <c:axId val="737221224"/>
        <c:axId val="737219584"/>
      </c:lineChart>
      <c:catAx>
        <c:axId val="737221224"/>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7219584"/>
        <c:crosses val="autoZero"/>
        <c:auto val="1"/>
        <c:lblAlgn val="ctr"/>
        <c:lblOffset val="100"/>
        <c:noMultiLvlLbl val="0"/>
      </c:catAx>
      <c:valAx>
        <c:axId val="7372195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7221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$Vega change</a:t>
            </a:r>
            <a:r>
              <a:rPr lang="en-US" altLang="zh-TW" baseline="0"/>
              <a:t> with IV</a:t>
            </a:r>
            <a:endParaRPr lang="en-US" altLang="zh-TW"/>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lineChart>
        <c:grouping val="standard"/>
        <c:varyColors val="0"/>
        <c:ser>
          <c:idx val="0"/>
          <c:order val="0"/>
          <c:tx>
            <c:strRef>
              <c:f>'Case_RV&gt;IV'!$S$2</c:f>
              <c:strCache>
                <c:ptCount val="1"/>
                <c:pt idx="0">
                  <c:v>$Vega</c:v>
                </c:pt>
              </c:strCache>
            </c:strRef>
          </c:tx>
          <c:spPr>
            <a:ln w="28575" cap="rnd">
              <a:solidFill>
                <a:schemeClr val="accent1"/>
              </a:solidFill>
              <a:round/>
            </a:ln>
            <a:effectLst/>
          </c:spPr>
          <c:marker>
            <c:symbol val="none"/>
          </c:marker>
          <c:cat>
            <c:numRef>
              <c:f>'Case_RV&gt;IV'!$H$3:$H$31</c:f>
              <c:numCache>
                <c:formatCode>0%</c:formatCode>
                <c:ptCount val="29"/>
                <c:pt idx="0">
                  <c:v>0.48781933670712596</c:v>
                </c:pt>
                <c:pt idx="1">
                  <c:v>0.63471325510113474</c:v>
                </c:pt>
                <c:pt idx="2">
                  <c:v>0.73005493568171476</c:v>
                </c:pt>
                <c:pt idx="3">
                  <c:v>0.61603859406147676</c:v>
                </c:pt>
                <c:pt idx="4">
                  <c:v>0.23820738270174702</c:v>
                </c:pt>
                <c:pt idx="5">
                  <c:v>0.6000195493684396</c:v>
                </c:pt>
                <c:pt idx="6">
                  <c:v>0.20193927797261965</c:v>
                </c:pt>
                <c:pt idx="7">
                  <c:v>0.6865418316562687</c:v>
                </c:pt>
                <c:pt idx="8">
                  <c:v>0.44409272044535464</c:v>
                </c:pt>
                <c:pt idx="9">
                  <c:v>0.2489246035506609</c:v>
                </c:pt>
                <c:pt idx="10">
                  <c:v>0.18063191879890644</c:v>
                </c:pt>
                <c:pt idx="11">
                  <c:v>0.47753132408255006</c:v>
                </c:pt>
                <c:pt idx="12">
                  <c:v>0.39774745932486744</c:v>
                </c:pt>
                <c:pt idx="13">
                  <c:v>0.36529732957380423</c:v>
                </c:pt>
                <c:pt idx="14">
                  <c:v>0.61369949608677898</c:v>
                </c:pt>
                <c:pt idx="15">
                  <c:v>0.1503891872099036</c:v>
                </c:pt>
                <c:pt idx="16">
                  <c:v>0.74565177644686176</c:v>
                </c:pt>
                <c:pt idx="17">
                  <c:v>0.36268876798815697</c:v>
                </c:pt>
                <c:pt idx="18">
                  <c:v>0.26773845625515685</c:v>
                </c:pt>
                <c:pt idx="19">
                  <c:v>0.59160222801254148</c:v>
                </c:pt>
                <c:pt idx="20">
                  <c:v>0.53164757502410331</c:v>
                </c:pt>
                <c:pt idx="21">
                  <c:v>0.74934607556300381</c:v>
                </c:pt>
                <c:pt idx="22">
                  <c:v>0.67703602823038089</c:v>
                </c:pt>
                <c:pt idx="23">
                  <c:v>0.61419741318165466</c:v>
                </c:pt>
                <c:pt idx="24">
                  <c:v>0.21765043466462436</c:v>
                </c:pt>
                <c:pt idx="25">
                  <c:v>0.26461401725252054</c:v>
                </c:pt>
                <c:pt idx="26">
                  <c:v>0.51611275374993137</c:v>
                </c:pt>
                <c:pt idx="27">
                  <c:v>0.25338173384497614</c:v>
                </c:pt>
                <c:pt idx="28">
                  <c:v>0.54874608288581772</c:v>
                </c:pt>
              </c:numCache>
            </c:numRef>
          </c:cat>
          <c:val>
            <c:numRef>
              <c:f>'Case_RV&gt;IV'!$S$3:$S$30</c:f>
              <c:numCache>
                <c:formatCode>"$"#,##0.00;[Red]\-"$"#,##0.00</c:formatCode>
                <c:ptCount val="28"/>
                <c:pt idx="0">
                  <c:v>143.31610375533785</c:v>
                </c:pt>
                <c:pt idx="1">
                  <c:v>134.68517289068279</c:v>
                </c:pt>
                <c:pt idx="2">
                  <c:v>134.01397553470451</c:v>
                </c:pt>
                <c:pt idx="3">
                  <c:v>131.55468230256753</c:v>
                </c:pt>
                <c:pt idx="4">
                  <c:v>72.918797490614097</c:v>
                </c:pt>
                <c:pt idx="5">
                  <c:v>127.59891987805084</c:v>
                </c:pt>
                <c:pt idx="6">
                  <c:v>126.74776919810931</c:v>
                </c:pt>
                <c:pt idx="7">
                  <c:v>123.98347588219406</c:v>
                </c:pt>
                <c:pt idx="8">
                  <c:v>119.56033119738208</c:v>
                </c:pt>
                <c:pt idx="9">
                  <c:v>103.77042245842064</c:v>
                </c:pt>
                <c:pt idx="10">
                  <c:v>62.987365701738852</c:v>
                </c:pt>
                <c:pt idx="11">
                  <c:v>100.41865837602006</c:v>
                </c:pt>
                <c:pt idx="12">
                  <c:v>108.3403443315887</c:v>
                </c:pt>
                <c:pt idx="13">
                  <c:v>102.91081606108892</c:v>
                </c:pt>
                <c:pt idx="14">
                  <c:v>97.226282911340519</c:v>
                </c:pt>
                <c:pt idx="15">
                  <c:v>30.401398401740082</c:v>
                </c:pt>
                <c:pt idx="16">
                  <c:v>83.508296738860437</c:v>
                </c:pt>
                <c:pt idx="17">
                  <c:v>64.26224106877973</c:v>
                </c:pt>
                <c:pt idx="18">
                  <c:v>49.0723974635549</c:v>
                </c:pt>
                <c:pt idx="19">
                  <c:v>78.589995304002002</c:v>
                </c:pt>
                <c:pt idx="20">
                  <c:v>74.913780066253068</c:v>
                </c:pt>
                <c:pt idx="21">
                  <c:v>71.818611143430829</c:v>
                </c:pt>
                <c:pt idx="22">
                  <c:v>66.49290370305323</c:v>
                </c:pt>
                <c:pt idx="23">
                  <c:v>58.70029461522595</c:v>
                </c:pt>
                <c:pt idx="24">
                  <c:v>22.326654290297832</c:v>
                </c:pt>
                <c:pt idx="25">
                  <c:v>15.05087752458692</c:v>
                </c:pt>
                <c:pt idx="26">
                  <c:v>6.6318256685940868</c:v>
                </c:pt>
                <c:pt idx="27">
                  <c:v>1.8771554006604407</c:v>
                </c:pt>
              </c:numCache>
            </c:numRef>
          </c:val>
          <c:smooth val="0"/>
          <c:extLst>
            <c:ext xmlns:c16="http://schemas.microsoft.com/office/drawing/2014/chart" uri="{C3380CC4-5D6E-409C-BE32-E72D297353CC}">
              <c16:uniqueId val="{00000000-5529-4FCC-A0B6-2FF2CBAF4980}"/>
            </c:ext>
          </c:extLst>
        </c:ser>
        <c:dLbls>
          <c:showLegendKey val="0"/>
          <c:showVal val="0"/>
          <c:showCatName val="0"/>
          <c:showSerName val="0"/>
          <c:showPercent val="0"/>
          <c:showBubbleSize val="0"/>
        </c:dLbls>
        <c:smooth val="0"/>
        <c:axId val="618265952"/>
        <c:axId val="414160720"/>
      </c:lineChart>
      <c:catAx>
        <c:axId val="61826595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414160720"/>
        <c:crosses val="autoZero"/>
        <c:auto val="1"/>
        <c:lblAlgn val="ctr"/>
        <c:lblOffset val="100"/>
        <c:noMultiLvlLbl val="0"/>
      </c:catAx>
      <c:valAx>
        <c:axId val="4141607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618265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$Theta change</a:t>
            </a:r>
            <a:r>
              <a:rPr lang="en-US" altLang="zh-TW" baseline="0"/>
              <a:t> with T</a:t>
            </a:r>
            <a:endParaRPr lang="en-US" altLang="zh-TW"/>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lineChart>
        <c:grouping val="standard"/>
        <c:varyColors val="0"/>
        <c:ser>
          <c:idx val="0"/>
          <c:order val="0"/>
          <c:tx>
            <c:strRef>
              <c:f>Acutaul_Case!$Q$2</c:f>
              <c:strCache>
                <c:ptCount val="1"/>
                <c:pt idx="0">
                  <c:v>$Theta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xmlns:c15="http://schemas.microsoft.com/office/drawing/2012/chart" uri="{02D57815-91ED-43cb-92C2-25804820EDAC}">
                  <c15:fullRef>
                    <c15:sqref>Acutaul_Case!$I$3:$I$31</c15:sqref>
                  </c15:fullRef>
                </c:ext>
              </c:extLst>
              <c:f>Acutaul_Case!$I$4:$I$31</c:f>
              <c:numCache>
                <c:formatCode>0.00</c:formatCode>
                <c:ptCount val="28"/>
                <c:pt idx="0">
                  <c:v>7.3972602739726029E-2</c:v>
                </c:pt>
                <c:pt idx="1">
                  <c:v>7.1232876712328766E-2</c:v>
                </c:pt>
                <c:pt idx="2">
                  <c:v>6.8493150684931517E-2</c:v>
                </c:pt>
                <c:pt idx="3">
                  <c:v>6.5753424657534254E-2</c:v>
                </c:pt>
                <c:pt idx="4">
                  <c:v>6.3013698630136991E-2</c:v>
                </c:pt>
                <c:pt idx="5">
                  <c:v>6.0273972602739728E-2</c:v>
                </c:pt>
                <c:pt idx="6">
                  <c:v>5.7534246575342465E-2</c:v>
                </c:pt>
                <c:pt idx="7">
                  <c:v>5.4794520547945209E-2</c:v>
                </c:pt>
                <c:pt idx="8">
                  <c:v>5.2054794520547953E-2</c:v>
                </c:pt>
                <c:pt idx="9">
                  <c:v>4.9315068493150691E-2</c:v>
                </c:pt>
                <c:pt idx="10">
                  <c:v>4.6575342465753428E-2</c:v>
                </c:pt>
                <c:pt idx="11">
                  <c:v>4.3835616438356172E-2</c:v>
                </c:pt>
                <c:pt idx="12">
                  <c:v>4.1095890410958909E-2</c:v>
                </c:pt>
                <c:pt idx="13">
                  <c:v>3.8356164383561646E-2</c:v>
                </c:pt>
                <c:pt idx="14">
                  <c:v>3.561643835616439E-2</c:v>
                </c:pt>
                <c:pt idx="15">
                  <c:v>3.2876712328767127E-2</c:v>
                </c:pt>
                <c:pt idx="16">
                  <c:v>3.0136986301369864E-2</c:v>
                </c:pt>
                <c:pt idx="17">
                  <c:v>2.7397260273972608E-2</c:v>
                </c:pt>
                <c:pt idx="18">
                  <c:v>2.4657534246575345E-2</c:v>
                </c:pt>
                <c:pt idx="19">
                  <c:v>2.1917808219178089E-2</c:v>
                </c:pt>
                <c:pt idx="20">
                  <c:v>1.9178082191780826E-2</c:v>
                </c:pt>
                <c:pt idx="21">
                  <c:v>1.6438356164383564E-2</c:v>
                </c:pt>
                <c:pt idx="22">
                  <c:v>1.3698630136986301E-2</c:v>
                </c:pt>
                <c:pt idx="23">
                  <c:v>1.0958904109589052E-2</c:v>
                </c:pt>
                <c:pt idx="24">
                  <c:v>8.2191780821917887E-3</c:v>
                </c:pt>
                <c:pt idx="25">
                  <c:v>5.4794520547945258E-3</c:v>
                </c:pt>
                <c:pt idx="26">
                  <c:v>2.7397260273972629E-3</c:v>
                </c:pt>
                <c:pt idx="27">
                  <c:v>0</c:v>
                </c:pt>
              </c:numCache>
            </c:numRef>
          </c:cat>
          <c:val>
            <c:numRef>
              <c:extLst>
                <c:ext xmlns:c15="http://schemas.microsoft.com/office/drawing/2012/chart" uri="{02D57815-91ED-43cb-92C2-25804820EDAC}">
                  <c15:fullRef>
                    <c15:sqref>Acutaul_Case!$Q$3:$Q$30</c15:sqref>
                  </c15:fullRef>
                </c:ext>
              </c:extLst>
              <c:f>Acutaul_Case!$Q$4:$Q$30</c:f>
              <c:numCache>
                <c:formatCode>"$"#,##0.00;[Red]\-"$"#,##0.00</c:formatCode>
                <c:ptCount val="27"/>
                <c:pt idx="0">
                  <c:v>-97.294065897622517</c:v>
                </c:pt>
                <c:pt idx="1">
                  <c:v>-99.125867833243461</c:v>
                </c:pt>
                <c:pt idx="2">
                  <c:v>-101.0647930459396</c:v>
                </c:pt>
                <c:pt idx="3">
                  <c:v>-98.453520560925611</c:v>
                </c:pt>
                <c:pt idx="4">
                  <c:v>-105.06967006567241</c:v>
                </c:pt>
                <c:pt idx="5">
                  <c:v>-95.435540390946727</c:v>
                </c:pt>
                <c:pt idx="6">
                  <c:v>-64.022732345189254</c:v>
                </c:pt>
                <c:pt idx="7">
                  <c:v>-63.910870369199301</c:v>
                </c:pt>
                <c:pt idx="8">
                  <c:v>-63.703269035095808</c:v>
                </c:pt>
                <c:pt idx="9">
                  <c:v>-91.564702019829056</c:v>
                </c:pt>
                <c:pt idx="10">
                  <c:v>-108.36969476625416</c:v>
                </c:pt>
                <c:pt idx="11">
                  <c:v>-103.65477275856445</c:v>
                </c:pt>
                <c:pt idx="12">
                  <c:v>-103.49113952223809</c:v>
                </c:pt>
                <c:pt idx="13">
                  <c:v>-96.778676162883173</c:v>
                </c:pt>
                <c:pt idx="14">
                  <c:v>-97.445780083296171</c:v>
                </c:pt>
                <c:pt idx="15">
                  <c:v>-97.914418403764088</c:v>
                </c:pt>
                <c:pt idx="16">
                  <c:v>-98.097553516481298</c:v>
                </c:pt>
                <c:pt idx="17">
                  <c:v>-96.216246650836368</c:v>
                </c:pt>
                <c:pt idx="18">
                  <c:v>-62.238645047007218</c:v>
                </c:pt>
                <c:pt idx="19">
                  <c:v>-23.16447959137221</c:v>
                </c:pt>
                <c:pt idx="20">
                  <c:v>-38.532605400108658</c:v>
                </c:pt>
                <c:pt idx="21">
                  <c:v>-30.46483931656288</c:v>
                </c:pt>
                <c:pt idx="22">
                  <c:v>-21.561199545447945</c:v>
                </c:pt>
                <c:pt idx="23">
                  <c:v>-40.733827713013</c:v>
                </c:pt>
                <c:pt idx="24">
                  <c:v>-119.5270663774015</c:v>
                </c:pt>
                <c:pt idx="25">
                  <c:v>-9.9174931374710678</c:v>
                </c:pt>
                <c:pt idx="26">
                  <c:v>-105.67569566704753</c:v>
                </c:pt>
              </c:numCache>
            </c:numRef>
          </c:val>
          <c:smooth val="0"/>
          <c:extLst>
            <c:ext xmlns:c16="http://schemas.microsoft.com/office/drawing/2014/chart" uri="{C3380CC4-5D6E-409C-BE32-E72D297353CC}">
              <c16:uniqueId val="{00000000-B95B-4518-9BC4-5C1071C61F7E}"/>
            </c:ext>
          </c:extLst>
        </c:ser>
        <c:dLbls>
          <c:showLegendKey val="0"/>
          <c:showVal val="0"/>
          <c:showCatName val="0"/>
          <c:showSerName val="0"/>
          <c:showPercent val="0"/>
          <c:showBubbleSize val="0"/>
        </c:dLbls>
        <c:marker val="1"/>
        <c:smooth val="0"/>
        <c:axId val="536487624"/>
        <c:axId val="536487296"/>
      </c:lineChart>
      <c:catAx>
        <c:axId val="536487624"/>
        <c:scaling>
          <c:orientation val="minMax"/>
        </c:scaling>
        <c:delete val="0"/>
        <c:axPos val="b"/>
        <c:numFmt formatCode="0.0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536487296"/>
        <c:crosses val="autoZero"/>
        <c:auto val="1"/>
        <c:lblAlgn val="ctr"/>
        <c:lblOffset val="100"/>
        <c:noMultiLvlLbl val="0"/>
      </c:catAx>
      <c:valAx>
        <c:axId val="536487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536487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$Gamma Change</a:t>
            </a:r>
            <a:r>
              <a:rPr lang="en-US" altLang="zh-TW" baseline="0"/>
              <a:t> with Spot</a:t>
            </a:r>
            <a:endParaRPr lang="en-US" altLang="zh-TW"/>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lineChart>
        <c:grouping val="standard"/>
        <c:varyColors val="0"/>
        <c:ser>
          <c:idx val="0"/>
          <c:order val="0"/>
          <c:tx>
            <c:strRef>
              <c:f>Acutaul_Case!$P$2</c:f>
              <c:strCache>
                <c:ptCount val="1"/>
                <c:pt idx="0">
                  <c:v>$Gamma</c:v>
                </c:pt>
              </c:strCache>
            </c:strRef>
          </c:tx>
          <c:spPr>
            <a:ln w="28575" cap="rnd">
              <a:solidFill>
                <a:schemeClr val="accent1"/>
              </a:solidFill>
              <a:round/>
            </a:ln>
            <a:effectLst/>
          </c:spPr>
          <c:marker>
            <c:symbol val="none"/>
          </c:marker>
          <c:cat>
            <c:numRef>
              <c:f>Acutaul_Case!$F$3:$F$31</c:f>
              <c:numCache>
                <c:formatCode>General</c:formatCode>
                <c:ptCount val="29"/>
                <c:pt idx="0">
                  <c:v>131.56</c:v>
                </c:pt>
                <c:pt idx="1">
                  <c:v>131.56</c:v>
                </c:pt>
                <c:pt idx="2">
                  <c:v>131.56</c:v>
                </c:pt>
                <c:pt idx="3">
                  <c:v>131.56</c:v>
                </c:pt>
                <c:pt idx="4">
                  <c:v>135.87</c:v>
                </c:pt>
                <c:pt idx="5">
                  <c:v>135.35</c:v>
                </c:pt>
                <c:pt idx="6">
                  <c:v>138.27000000000001</c:v>
                </c:pt>
                <c:pt idx="7">
                  <c:v>141.66</c:v>
                </c:pt>
                <c:pt idx="8">
                  <c:v>141.66</c:v>
                </c:pt>
                <c:pt idx="9">
                  <c:v>141.66</c:v>
                </c:pt>
                <c:pt idx="10">
                  <c:v>141.66</c:v>
                </c:pt>
                <c:pt idx="11">
                  <c:v>137.44</c:v>
                </c:pt>
                <c:pt idx="12">
                  <c:v>139.22999999999999</c:v>
                </c:pt>
                <c:pt idx="13" formatCode="0.00">
                  <c:v>136.72</c:v>
                </c:pt>
                <c:pt idx="14" formatCode="0.00">
                  <c:v>138.93</c:v>
                </c:pt>
                <c:pt idx="15" formatCode="0.00">
                  <c:v>138.93</c:v>
                </c:pt>
                <c:pt idx="16" formatCode="0.00">
                  <c:v>138.93</c:v>
                </c:pt>
                <c:pt idx="17" formatCode="0.00">
                  <c:v>138.93</c:v>
                </c:pt>
                <c:pt idx="18" formatCode="0.00">
                  <c:v>141.56</c:v>
                </c:pt>
                <c:pt idx="19" formatCode="0.00">
                  <c:v>142.91999999999999</c:v>
                </c:pt>
                <c:pt idx="20" formatCode="0.00">
                  <c:v>146.35</c:v>
                </c:pt>
                <c:pt idx="21" formatCode="0.00">
                  <c:v>147.04</c:v>
                </c:pt>
                <c:pt idx="22" formatCode="0.00">
                  <c:v>147.04</c:v>
                </c:pt>
                <c:pt idx="23" formatCode="0.00">
                  <c:v>147.04</c:v>
                </c:pt>
                <c:pt idx="24" formatCode="0.00">
                  <c:v>144.88999999999999</c:v>
                </c:pt>
                <c:pt idx="25" formatCode="0.00">
                  <c:v>145.86000000000001</c:v>
                </c:pt>
                <c:pt idx="26" formatCode="0.00">
                  <c:v>145.49</c:v>
                </c:pt>
                <c:pt idx="27" formatCode="0.00">
                  <c:v>148.47</c:v>
                </c:pt>
                <c:pt idx="28" formatCode="0.00">
                  <c:v>150.16999999999999</c:v>
                </c:pt>
              </c:numCache>
            </c:numRef>
          </c:cat>
          <c:val>
            <c:numRef>
              <c:f>Acutaul_Case!$P$3:$P$30</c:f>
              <c:numCache>
                <c:formatCode>"$"#,##0.00;[Red]\-"$"#,##0.00</c:formatCode>
                <c:ptCount val="28"/>
                <c:pt idx="0">
                  <c:v>5005.9029232617113</c:v>
                </c:pt>
                <c:pt idx="1">
                  <c:v>5096.7488442661233</c:v>
                </c:pt>
                <c:pt idx="2">
                  <c:v>5192.7077736434248</c:v>
                </c:pt>
                <c:pt idx="3">
                  <c:v>5294.278355011932</c:v>
                </c:pt>
                <c:pt idx="4">
                  <c:v>4856.347304779245</c:v>
                </c:pt>
                <c:pt idx="5">
                  <c:v>4901.0334066504065</c:v>
                </c:pt>
                <c:pt idx="6">
                  <c:v>4515.3356448008608</c:v>
                </c:pt>
                <c:pt idx="7">
                  <c:v>3817.413280615443</c:v>
                </c:pt>
                <c:pt idx="8">
                  <c:v>3810.7434091948112</c:v>
                </c:pt>
                <c:pt idx="9">
                  <c:v>3798.3649920162497</c:v>
                </c:pt>
                <c:pt idx="10">
                  <c:v>3794.6612123058057</c:v>
                </c:pt>
                <c:pt idx="11">
                  <c:v>5042.2111152638463</c:v>
                </c:pt>
                <c:pt idx="12">
                  <c:v>4547.8355622900326</c:v>
                </c:pt>
                <c:pt idx="13">
                  <c:v>5705.082353103644</c:v>
                </c:pt>
                <c:pt idx="14">
                  <c:v>4826.2810182636749</c:v>
                </c:pt>
                <c:pt idx="15">
                  <c:v>4859.5489974916572</c:v>
                </c:pt>
                <c:pt idx="16">
                  <c:v>4882.9196440036912</c:v>
                </c:pt>
                <c:pt idx="17">
                  <c:v>4892.0524566575559</c:v>
                </c:pt>
                <c:pt idx="18">
                  <c:v>3727.2772601464899</c:v>
                </c:pt>
                <c:pt idx="19">
                  <c:v>2798.9069124939542</c:v>
                </c:pt>
                <c:pt idx="20">
                  <c:v>1130.244694736391</c:v>
                </c:pt>
                <c:pt idx="21">
                  <c:v>1331.6533780689135</c:v>
                </c:pt>
                <c:pt idx="22">
                  <c:v>1052.8383888651665</c:v>
                </c:pt>
                <c:pt idx="23">
                  <c:v>745.13633095343994</c:v>
                </c:pt>
                <c:pt idx="24">
                  <c:v>1201.8949777483642</c:v>
                </c:pt>
                <c:pt idx="25">
                  <c:v>1727.4937696410643</c:v>
                </c:pt>
                <c:pt idx="26">
                  <c:v>250.8723284836004</c:v>
                </c:pt>
                <c:pt idx="27">
                  <c:v>648.10962988525148</c:v>
                </c:pt>
              </c:numCache>
            </c:numRef>
          </c:val>
          <c:smooth val="0"/>
          <c:extLst>
            <c:ext xmlns:c16="http://schemas.microsoft.com/office/drawing/2014/chart" uri="{C3380CC4-5D6E-409C-BE32-E72D297353CC}">
              <c16:uniqueId val="{00000000-D71D-43BD-8A1D-8DB1ABBCD4E2}"/>
            </c:ext>
          </c:extLst>
        </c:ser>
        <c:dLbls>
          <c:showLegendKey val="0"/>
          <c:showVal val="0"/>
          <c:showCatName val="0"/>
          <c:showSerName val="0"/>
          <c:showPercent val="0"/>
          <c:showBubbleSize val="0"/>
        </c:dLbls>
        <c:smooth val="0"/>
        <c:axId val="737221224"/>
        <c:axId val="737219584"/>
      </c:lineChart>
      <c:catAx>
        <c:axId val="737221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7219584"/>
        <c:crosses val="autoZero"/>
        <c:auto val="1"/>
        <c:lblAlgn val="ctr"/>
        <c:lblOffset val="100"/>
        <c:noMultiLvlLbl val="0"/>
      </c:catAx>
      <c:valAx>
        <c:axId val="7372195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7221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$Vega change</a:t>
            </a:r>
            <a:r>
              <a:rPr lang="en-US" altLang="zh-TW" baseline="0"/>
              <a:t> with IV</a:t>
            </a:r>
            <a:endParaRPr lang="en-US" altLang="zh-TW"/>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lineChart>
        <c:grouping val="standard"/>
        <c:varyColors val="0"/>
        <c:ser>
          <c:idx val="0"/>
          <c:order val="0"/>
          <c:tx>
            <c:strRef>
              <c:f>Acutaul_Case!$R$2</c:f>
              <c:strCache>
                <c:ptCount val="1"/>
                <c:pt idx="0">
                  <c:v>$Vega</c:v>
                </c:pt>
              </c:strCache>
            </c:strRef>
          </c:tx>
          <c:spPr>
            <a:ln w="28575" cap="rnd">
              <a:solidFill>
                <a:schemeClr val="accent1"/>
              </a:solidFill>
              <a:round/>
            </a:ln>
            <a:effectLst/>
          </c:spPr>
          <c:marker>
            <c:symbol val="none"/>
          </c:marker>
          <c:cat>
            <c:numRef>
              <c:f>Acutaul_Case!$G$3:$G$31</c:f>
              <c:numCache>
                <c:formatCode>0.00%</c:formatCode>
                <c:ptCount val="29"/>
                <c:pt idx="0">
                  <c:v>0.37330000000000002</c:v>
                </c:pt>
                <c:pt idx="1">
                  <c:v>0.37330000000000002</c:v>
                </c:pt>
                <c:pt idx="2">
                  <c:v>0.37330000000000002</c:v>
                </c:pt>
                <c:pt idx="3">
                  <c:v>0.37330000000000002</c:v>
                </c:pt>
                <c:pt idx="4">
                  <c:v>0.38469999999999999</c:v>
                </c:pt>
                <c:pt idx="5">
                  <c:v>0.39560000000000001</c:v>
                </c:pt>
                <c:pt idx="6">
                  <c:v>0.39279999999999998</c:v>
                </c:pt>
                <c:pt idx="7">
                  <c:v>0.34989999999999999</c:v>
                </c:pt>
                <c:pt idx="8">
                  <c:v>0.34989999999999999</c:v>
                </c:pt>
                <c:pt idx="9">
                  <c:v>0.34989999999999999</c:v>
                </c:pt>
                <c:pt idx="10">
                  <c:v>0.41970000000000002</c:v>
                </c:pt>
                <c:pt idx="11">
                  <c:v>0.39610000000000001</c:v>
                </c:pt>
                <c:pt idx="12">
                  <c:v>0.40789999999999998</c:v>
                </c:pt>
                <c:pt idx="13">
                  <c:v>0.3639</c:v>
                </c:pt>
                <c:pt idx="14">
                  <c:v>0.3826</c:v>
                </c:pt>
                <c:pt idx="15">
                  <c:v>0.3826</c:v>
                </c:pt>
                <c:pt idx="16">
                  <c:v>0.3826</c:v>
                </c:pt>
                <c:pt idx="17">
                  <c:v>0.3826</c:v>
                </c:pt>
                <c:pt idx="18">
                  <c:v>0.43409999999999999</c:v>
                </c:pt>
                <c:pt idx="19">
                  <c:v>0.40289999999999998</c:v>
                </c:pt>
                <c:pt idx="20">
                  <c:v>0.38679999999999998</c:v>
                </c:pt>
                <c:pt idx="21">
                  <c:v>0.45960000000000001</c:v>
                </c:pt>
                <c:pt idx="22">
                  <c:v>0.45960000000000001</c:v>
                </c:pt>
                <c:pt idx="23">
                  <c:v>0.45960000000000001</c:v>
                </c:pt>
                <c:pt idx="24">
                  <c:v>0.49740000000000001</c:v>
                </c:pt>
                <c:pt idx="25">
                  <c:v>0.7107</c:v>
                </c:pt>
                <c:pt idx="26">
                  <c:v>0.53720000000000001</c:v>
                </c:pt>
                <c:pt idx="27">
                  <c:v>1.091</c:v>
                </c:pt>
                <c:pt idx="28">
                  <c:v>1.7764</c:v>
                </c:pt>
              </c:numCache>
            </c:numRef>
          </c:cat>
          <c:val>
            <c:numRef>
              <c:f>Acutaul_Case!$R$3:$R$30</c:f>
              <c:numCache>
                <c:formatCode>"$"#,##0.00;[Red]\-"$"#,##0.00</c:formatCode>
                <c:ptCount val="28"/>
                <c:pt idx="0">
                  <c:v>143.35260195918005</c:v>
                </c:pt>
                <c:pt idx="1">
                  <c:v>140.7414829486101</c:v>
                </c:pt>
                <c:pt idx="2">
                  <c:v>138.08050166966677</c:v>
                </c:pt>
                <c:pt idx="3">
                  <c:v>135.36671985794214</c:v>
                </c:pt>
                <c:pt idx="4">
                  <c:v>122.84296820702961</c:v>
                </c:pt>
                <c:pt idx="5">
                  <c:v>122.17403496008423</c:v>
                </c:pt>
                <c:pt idx="6">
                  <c:v>106.90335481674278</c:v>
                </c:pt>
                <c:pt idx="7">
                  <c:v>76.849235738723891</c:v>
                </c:pt>
                <c:pt idx="8">
                  <c:v>73.061869527521367</c:v>
                </c:pt>
                <c:pt idx="9">
                  <c:v>69.183315899789676</c:v>
                </c:pt>
                <c:pt idx="10">
                  <c:v>78.540130395850539</c:v>
                </c:pt>
                <c:pt idx="11">
                  <c:v>93.021197224252518</c:v>
                </c:pt>
                <c:pt idx="12">
                  <c:v>81.317791818437456</c:v>
                </c:pt>
                <c:pt idx="13">
                  <c:v>85.318334313469151</c:v>
                </c:pt>
                <c:pt idx="14">
                  <c:v>70.826004510212485</c:v>
                </c:pt>
                <c:pt idx="15">
                  <c:v>66.220341928010996</c:v>
                </c:pt>
                <c:pt idx="16">
                  <c:v>61.420440190547268</c:v>
                </c:pt>
                <c:pt idx="17">
                  <c:v>56.407375257778071</c:v>
                </c:pt>
                <c:pt idx="18">
                  <c:v>44.329070099440862</c:v>
                </c:pt>
                <c:pt idx="19">
                  <c:v>27.805798233957063</c:v>
                </c:pt>
                <c:pt idx="20">
                  <c:v>9.5819977627186024</c:v>
                </c:pt>
                <c:pt idx="21">
                  <c:v>11.73752122718715</c:v>
                </c:pt>
                <c:pt idx="22">
                  <c:v>7.9542661400947479</c:v>
                </c:pt>
                <c:pt idx="23">
                  <c:v>4.6912966809068619</c:v>
                </c:pt>
                <c:pt idx="24">
                  <c:v>6.551480130762048</c:v>
                </c:pt>
                <c:pt idx="25">
                  <c:v>10.090930044525253</c:v>
                </c:pt>
                <c:pt idx="26">
                  <c:v>0.73845816362405625</c:v>
                </c:pt>
                <c:pt idx="27">
                  <c:v>1.9372263183693419</c:v>
                </c:pt>
              </c:numCache>
            </c:numRef>
          </c:val>
          <c:smooth val="0"/>
          <c:extLst>
            <c:ext xmlns:c16="http://schemas.microsoft.com/office/drawing/2014/chart" uri="{C3380CC4-5D6E-409C-BE32-E72D297353CC}">
              <c16:uniqueId val="{00000000-4524-4EA5-A8A5-C17A49C22A41}"/>
            </c:ext>
          </c:extLst>
        </c:ser>
        <c:dLbls>
          <c:showLegendKey val="0"/>
          <c:showVal val="0"/>
          <c:showCatName val="0"/>
          <c:showSerName val="0"/>
          <c:showPercent val="0"/>
          <c:showBubbleSize val="0"/>
        </c:dLbls>
        <c:smooth val="0"/>
        <c:axId val="618265952"/>
        <c:axId val="414160720"/>
      </c:lineChart>
      <c:catAx>
        <c:axId val="618265952"/>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414160720"/>
        <c:crosses val="autoZero"/>
        <c:auto val="1"/>
        <c:lblAlgn val="ctr"/>
        <c:lblOffset val="100"/>
        <c:noMultiLvlLbl val="0"/>
      </c:catAx>
      <c:valAx>
        <c:axId val="4141607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618265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100013</xdr:colOff>
          <xdr:row>18</xdr:row>
          <xdr:rowOff>157163</xdr:rowOff>
        </xdr:from>
        <xdr:to>
          <xdr:col>1</xdr:col>
          <xdr:colOff>200025</xdr:colOff>
          <xdr:row>20</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1100" b="0" i="0" u="none" strike="noStrike" baseline="0">
                  <a:solidFill>
                    <a:srgbClr val="000000"/>
                  </a:solidFill>
                  <a:latin typeface="新細明體"/>
                  <a:ea typeface="新細明體"/>
                </a:rPr>
                <a:t>Copy</a:t>
              </a:r>
            </a:p>
          </xdr:txBody>
        </xdr:sp>
        <xdr:clientData fPrintsWithSheet="0"/>
      </xdr:twoCellAnchor>
    </mc:Choice>
    <mc:Fallback/>
  </mc:AlternateContent>
  <xdr:twoCellAnchor>
    <xdr:from>
      <xdr:col>2</xdr:col>
      <xdr:colOff>597959</xdr:colOff>
      <xdr:row>55</xdr:row>
      <xdr:rowOff>58210</xdr:rowOff>
    </xdr:from>
    <xdr:to>
      <xdr:col>10</xdr:col>
      <xdr:colOff>878416</xdr:colOff>
      <xdr:row>68</xdr:row>
      <xdr:rowOff>179918</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26457</xdr:colOff>
      <xdr:row>54</xdr:row>
      <xdr:rowOff>176212</xdr:rowOff>
    </xdr:from>
    <xdr:to>
      <xdr:col>17</xdr:col>
      <xdr:colOff>481541</xdr:colOff>
      <xdr:row>69</xdr:row>
      <xdr:rowOff>61912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571500</xdr:colOff>
      <xdr:row>70</xdr:row>
      <xdr:rowOff>37042</xdr:rowOff>
    </xdr:from>
    <xdr:to>
      <xdr:col>10</xdr:col>
      <xdr:colOff>862541</xdr:colOff>
      <xdr:row>84</xdr:row>
      <xdr:rowOff>72496</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597959</xdr:colOff>
      <xdr:row>35</xdr:row>
      <xdr:rowOff>58210</xdr:rowOff>
    </xdr:from>
    <xdr:to>
      <xdr:col>9</xdr:col>
      <xdr:colOff>878416</xdr:colOff>
      <xdr:row>48</xdr:row>
      <xdr:rowOff>179918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26457</xdr:colOff>
      <xdr:row>34</xdr:row>
      <xdr:rowOff>176212</xdr:rowOff>
    </xdr:from>
    <xdr:to>
      <xdr:col>16</xdr:col>
      <xdr:colOff>481541</xdr:colOff>
      <xdr:row>49</xdr:row>
      <xdr:rowOff>61912</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571500</xdr:colOff>
      <xdr:row>50</xdr:row>
      <xdr:rowOff>37042</xdr:rowOff>
    </xdr:from>
    <xdr:to>
      <xdr:col>9</xdr:col>
      <xdr:colOff>862541</xdr:colOff>
      <xdr:row>64</xdr:row>
      <xdr:rowOff>72496</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volafy.net/equity/AAPL" TargetMode="External"/><Relationship Id="rId2" Type="http://schemas.openxmlformats.org/officeDocument/2006/relationships/hyperlink" Target="https://www.macroption.com/black-scholes-formula/" TargetMode="External"/><Relationship Id="rId1" Type="http://schemas.openxmlformats.org/officeDocument/2006/relationships/hyperlink" Target="https://www.optiontradingtips.com/greeks/gamma.html"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
  <sheetViews>
    <sheetView tabSelected="1" workbookViewId="0">
      <selection activeCell="M22" sqref="M22"/>
    </sheetView>
  </sheetViews>
  <sheetFormatPr defaultRowHeight="15" x14ac:dyDescent="0.45"/>
  <cols>
    <col min="1" max="1" width="38.140625" bestFit="1" customWidth="1"/>
    <col min="2" max="2" width="9.2109375" bestFit="1" customWidth="1"/>
    <col min="4" max="4" width="18.42578125" bestFit="1" customWidth="1"/>
    <col min="5" max="5" width="7.28515625" bestFit="1" customWidth="1"/>
    <col min="6" max="6" width="5.28515625" bestFit="1" customWidth="1"/>
    <col min="8" max="8" width="11.35546875" bestFit="1" customWidth="1"/>
  </cols>
  <sheetData>
    <row r="1" spans="1:14" x14ac:dyDescent="0.45">
      <c r="A1" s="44" t="s">
        <v>0</v>
      </c>
      <c r="B1" s="45">
        <v>44729</v>
      </c>
      <c r="D1" s="44" t="s">
        <v>30</v>
      </c>
      <c r="E1" s="46">
        <v>0.43120000000000003</v>
      </c>
      <c r="H1" s="44" t="s">
        <v>31</v>
      </c>
      <c r="I1" s="46">
        <v>0.39800000000000002</v>
      </c>
    </row>
    <row r="2" spans="1:14" x14ac:dyDescent="0.45">
      <c r="A2" s="44" t="s">
        <v>8</v>
      </c>
      <c r="B2" s="45">
        <v>44757</v>
      </c>
    </row>
    <row r="4" spans="1:14" x14ac:dyDescent="0.45">
      <c r="A4" s="1" t="s">
        <v>1</v>
      </c>
      <c r="B4" s="2"/>
      <c r="D4" s="7" t="s">
        <v>17</v>
      </c>
      <c r="E4" s="5" t="s">
        <v>14</v>
      </c>
      <c r="F4" s="5" t="s">
        <v>15</v>
      </c>
      <c r="H4" s="8" t="s">
        <v>18</v>
      </c>
      <c r="I4" s="6" t="s">
        <v>14</v>
      </c>
      <c r="J4" s="6" t="s">
        <v>15</v>
      </c>
    </row>
    <row r="5" spans="1:14" x14ac:dyDescent="0.45">
      <c r="A5" s="2" t="s">
        <v>2</v>
      </c>
      <c r="B5" s="2">
        <v>130</v>
      </c>
      <c r="D5" s="5" t="s">
        <v>16</v>
      </c>
      <c r="E5" s="10">
        <f>optionPrice("C",Stock_Price,Strike_Price,Time_to_Expiry,Risk_Free_Rate, Predicted_Volatility_Used_Historical,Annual_Dividend_Yield)</f>
        <v>6.2137577280690621</v>
      </c>
      <c r="F5" s="10">
        <f>optionPrice("P",Stock_Price,Strike_Price,Time_to_Expiry,Risk_Free_Rate, Predicted_Volatility_Used_Historical,Annual_Dividend_Yield)</f>
        <v>6.1579509804124868</v>
      </c>
      <c r="H5" s="6" t="s">
        <v>16</v>
      </c>
      <c r="I5" s="6">
        <v>5.85</v>
      </c>
      <c r="J5" s="6">
        <v>5.75</v>
      </c>
    </row>
    <row r="6" spans="1:14" x14ac:dyDescent="0.45">
      <c r="A6" s="2" t="s">
        <v>3</v>
      </c>
      <c r="B6" s="2">
        <v>130</v>
      </c>
      <c r="D6" s="5" t="s">
        <v>19</v>
      </c>
      <c r="E6" s="10">
        <f>OptionDelta("C",Stock_Price,Strike_Price,Time_to_Expiry,Risk_Free_Rate,Predicted_Volatility_Used_Historical,Annual_Dividend_Yield)</f>
        <v>0.52524085974449841</v>
      </c>
      <c r="F6" s="10">
        <f>OptionDelta("P",Stock_Price,Strike_Price,Time_to_Expiry,Risk_Free_Rate,Predicted_Volatility_Used_Historical,Annual_Dividend_Yield)</f>
        <v>-0.47475914025550159</v>
      </c>
      <c r="H6" s="6"/>
      <c r="I6" s="6"/>
      <c r="J6" s="6"/>
    </row>
    <row r="7" spans="1:14" x14ac:dyDescent="0.45">
      <c r="A7" s="2" t="s">
        <v>4</v>
      </c>
      <c r="B7" s="3">
        <f>(B2-B1)/365</f>
        <v>7.6712328767123292E-2</v>
      </c>
      <c r="D7" s="5" t="s">
        <v>20</v>
      </c>
      <c r="E7" s="10">
        <f>OptionGamma(Stock_Price,Strike_Price,Time_to_Expiry,Risk_Free_Rate,Predicted_Volatility_Used_Historical,Annual_Dividend_Yield)</f>
        <v>2.5643952895175588E-2</v>
      </c>
      <c r="F7" s="10">
        <f>OptionGamma(Stock_Price,Strike_Price,Time_to_Expiry,Risk_Free_Rate,Predicted_Volatility_Used_Historical,Annual_Dividend_Yield)</f>
        <v>2.5643952895175588E-2</v>
      </c>
      <c r="H7" s="6"/>
      <c r="I7" s="6"/>
      <c r="J7" s="6"/>
    </row>
    <row r="8" spans="1:14" x14ac:dyDescent="0.45">
      <c r="A8" s="2" t="s">
        <v>24</v>
      </c>
      <c r="B8" s="4">
        <v>0.43120000000000003</v>
      </c>
      <c r="D8" s="5" t="s">
        <v>21</v>
      </c>
      <c r="E8" s="10">
        <f>OptionTheta("C",Stock_Price,Strike_Price,Time_to_Expiry,Risk_Free_Rate,Predicted_Volatility_Used_Historical,Annual_Dividend_Yield)</f>
        <v>-0.10924886524880906</v>
      </c>
      <c r="F8" s="10">
        <f>OptionTheta("P",Stock_Price,Strike_Price,Time_to_Expiry,Risk_Free_Rate,Predicted_Volatility_Used_Historical,Annual_Dividend_Yield)</f>
        <v>-0.11124054148470124</v>
      </c>
      <c r="H8" s="6"/>
      <c r="I8" s="6"/>
      <c r="J8" s="6"/>
    </row>
    <row r="9" spans="1:14" x14ac:dyDescent="0.45">
      <c r="A9" s="2" t="s">
        <v>5</v>
      </c>
      <c r="B9" s="4">
        <v>1.21E-2</v>
      </c>
      <c r="D9" s="5" t="s">
        <v>22</v>
      </c>
      <c r="E9" s="10">
        <f>OptionVega(Stock_Price,Strike_Price,Time_to_Expiry,Risk_Free_Rate,Predicted_Volatility_Used_Historical,Annual_Dividend_Yield)</f>
        <v>0.14335590743865054</v>
      </c>
      <c r="F9" s="10">
        <f>OptionVega(Stock_Price,Strike_Price,Time_to_Expiry,Risk_Free_Rate,Predicted_Volatility_Used_Historical,Annual_Dividend_Yield)</f>
        <v>0.14335590743865054</v>
      </c>
      <c r="H9" s="6"/>
      <c r="I9" s="6"/>
      <c r="J9" s="6"/>
    </row>
    <row r="10" spans="1:14" ht="20.350000000000001" customHeight="1" x14ac:dyDescent="0.45">
      <c r="A10" s="2" t="s">
        <v>12</v>
      </c>
      <c r="B10" s="4">
        <v>6.4999999999999997E-3</v>
      </c>
      <c r="D10" s="5" t="s">
        <v>23</v>
      </c>
      <c r="E10" s="10">
        <f>optionrho("C",Stock_Price,Strike_Price,Time_to_Expiry,Risk_Free_Rate,Predicted_Volatility_Used_Historical,Annual_Dividend_Yield)</f>
        <v>4.7587354283997407E-2</v>
      </c>
      <c r="F10" s="10">
        <f>optionrho("P",Stock_Price,Strike_Price,Time_to_Expiry,Risk_Free_Rate,Predicted_Volatility_Used_Historical,Annual_Dividend_Yield)</f>
        <v>-5.2046148450305307E-2</v>
      </c>
      <c r="H10" s="6"/>
      <c r="I10" s="6"/>
      <c r="J10" s="6"/>
    </row>
    <row r="11" spans="1:14" ht="20.350000000000001" customHeight="1" x14ac:dyDescent="0.45"/>
    <row r="12" spans="1:14" x14ac:dyDescent="0.45">
      <c r="A12" s="47" t="s">
        <v>6</v>
      </c>
    </row>
    <row r="13" spans="1:14" x14ac:dyDescent="0.45">
      <c r="A13" t="s">
        <v>7</v>
      </c>
    </row>
    <row r="14" spans="1:14" x14ac:dyDescent="0.45">
      <c r="A14" t="s">
        <v>25</v>
      </c>
      <c r="M14" s="22"/>
      <c r="N14" s="12"/>
    </row>
    <row r="15" spans="1:14" ht="45" x14ac:dyDescent="0.45">
      <c r="A15" s="9" t="s">
        <v>27</v>
      </c>
    </row>
    <row r="17" spans="1:2" x14ac:dyDescent="0.45">
      <c r="A17" s="47" t="s">
        <v>9</v>
      </c>
    </row>
    <row r="18" spans="1:2" x14ac:dyDescent="0.45">
      <c r="A18" t="s">
        <v>10</v>
      </c>
      <c r="B18" t="s">
        <v>11</v>
      </c>
    </row>
    <row r="19" spans="1:2" x14ac:dyDescent="0.45">
      <c r="A19" t="s">
        <v>13</v>
      </c>
      <c r="B19" s="33" t="s">
        <v>124</v>
      </c>
    </row>
    <row r="20" spans="1:2" x14ac:dyDescent="0.45">
      <c r="A20" s="68" t="s">
        <v>28</v>
      </c>
      <c r="B20" s="33" t="s">
        <v>122</v>
      </c>
    </row>
    <row r="21" spans="1:2" x14ac:dyDescent="0.45">
      <c r="A21" s="68"/>
      <c r="B21" t="s">
        <v>29</v>
      </c>
    </row>
    <row r="22" spans="1:2" x14ac:dyDescent="0.45">
      <c r="A22" s="11" t="s">
        <v>45</v>
      </c>
      <c r="B22" s="33" t="s">
        <v>72</v>
      </c>
    </row>
    <row r="23" spans="1:2" x14ac:dyDescent="0.45">
      <c r="A23" s="11" t="s">
        <v>71</v>
      </c>
      <c r="B23" t="s">
        <v>70</v>
      </c>
    </row>
    <row r="24" spans="1:2" x14ac:dyDescent="0.45">
      <c r="A24" s="43" t="s">
        <v>91</v>
      </c>
      <c r="B24" t="s">
        <v>90</v>
      </c>
    </row>
    <row r="25" spans="1:2" x14ac:dyDescent="0.45">
      <c r="A25" s="11"/>
    </row>
    <row r="26" spans="1:2" x14ac:dyDescent="0.45">
      <c r="A26" s="47" t="s">
        <v>26</v>
      </c>
    </row>
    <row r="27" spans="1:2" x14ac:dyDescent="0.45">
      <c r="A27" t="s">
        <v>74</v>
      </c>
    </row>
    <row r="28" spans="1:2" x14ac:dyDescent="0.45">
      <c r="A28" t="s">
        <v>115</v>
      </c>
    </row>
    <row r="29" spans="1:2" x14ac:dyDescent="0.45">
      <c r="A29" t="s">
        <v>123</v>
      </c>
    </row>
    <row r="30" spans="1:2" x14ac:dyDescent="0.45">
      <c r="A30" t="s">
        <v>125</v>
      </c>
    </row>
    <row r="31" spans="1:2" x14ac:dyDescent="0.45">
      <c r="A31" t="s">
        <v>97</v>
      </c>
    </row>
    <row r="32" spans="1:2" x14ac:dyDescent="0.45">
      <c r="A32" t="s">
        <v>116</v>
      </c>
    </row>
    <row r="33" spans="1:1" x14ac:dyDescent="0.45">
      <c r="A33" t="s">
        <v>98</v>
      </c>
    </row>
  </sheetData>
  <mergeCells count="1">
    <mergeCell ref="A20:A21"/>
  </mergeCells>
  <phoneticPr fontId="1" type="noConversion"/>
  <hyperlinks>
    <hyperlink ref="B22" r:id="rId1" xr:uid="{0ED557C2-EABA-4FD4-A4FE-8FB0ADE80B46}"/>
    <hyperlink ref="B20" r:id="rId2" xr:uid="{C1559406-1F25-4F0F-8AAA-CA78B99FF94F}"/>
    <hyperlink ref="B19" r:id="rId3" xr:uid="{7FA31115-D8CC-4D36-B07F-AB7D2AF82013}"/>
  </hyperlinks>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F9369-F4EC-429D-8293-4B1FBC8C8A41}">
  <sheetPr codeName="Sheet2"/>
  <dimension ref="A1:AA54"/>
  <sheetViews>
    <sheetView zoomScale="90" zoomScaleNormal="90" workbookViewId="0">
      <selection activeCell="Z9" sqref="Z9"/>
    </sheetView>
  </sheetViews>
  <sheetFormatPr defaultRowHeight="15" x14ac:dyDescent="0.45"/>
  <cols>
    <col min="1" max="1" width="32.140625" customWidth="1"/>
    <col min="2" max="2" width="7.28515625" bestFit="1" customWidth="1"/>
    <col min="3" max="3" width="9.140625" style="18"/>
    <col min="4" max="4" width="7.2109375" customWidth="1"/>
    <col min="5" max="5" width="9.5" bestFit="1" customWidth="1"/>
    <col min="6" max="6" width="5.85546875" bestFit="1" customWidth="1"/>
    <col min="7" max="7" width="6.640625" bestFit="1" customWidth="1"/>
    <col min="8" max="8" width="4.78515625" bestFit="1" customWidth="1"/>
    <col min="9" max="9" width="12.92578125" bestFit="1" customWidth="1"/>
    <col min="10" max="10" width="4.640625" bestFit="1" customWidth="1"/>
    <col min="11" max="11" width="13.35546875" bestFit="1" customWidth="1"/>
    <col min="12" max="13" width="12.92578125" bestFit="1" customWidth="1"/>
    <col min="14" max="14" width="16.5" bestFit="1" customWidth="1"/>
    <col min="15" max="15" width="11.35546875" bestFit="1" customWidth="1"/>
    <col min="16" max="16" width="9.78515625" bestFit="1" customWidth="1"/>
    <col min="17" max="17" width="11.2109375" bestFit="1" customWidth="1"/>
    <col min="18" max="18" width="9.78515625" bestFit="1" customWidth="1"/>
    <col min="19" max="20" width="9.140625" bestFit="1" customWidth="1"/>
    <col min="21" max="23" width="9.78515625" bestFit="1" customWidth="1"/>
    <col min="24" max="24" width="19.140625" bestFit="1" customWidth="1"/>
    <col min="26" max="26" width="7.78515625" bestFit="1" customWidth="1"/>
    <col min="27" max="27" width="11.78515625" bestFit="1" customWidth="1"/>
  </cols>
  <sheetData>
    <row r="1" spans="1:27" x14ac:dyDescent="0.45">
      <c r="A1" s="13" t="s">
        <v>32</v>
      </c>
      <c r="D1" s="69" t="s">
        <v>50</v>
      </c>
      <c r="E1" s="70"/>
      <c r="F1" s="71" t="s">
        <v>51</v>
      </c>
      <c r="G1" s="71"/>
      <c r="H1" s="72"/>
      <c r="I1" s="49"/>
      <c r="J1" s="49"/>
      <c r="K1" s="49"/>
      <c r="L1" s="50"/>
      <c r="M1" s="51"/>
      <c r="N1" s="73" t="s">
        <v>63</v>
      </c>
      <c r="O1" s="71"/>
      <c r="P1" s="72"/>
      <c r="Q1" s="74" t="s">
        <v>64</v>
      </c>
      <c r="R1" s="75"/>
      <c r="S1" s="76"/>
      <c r="T1" s="77" t="s">
        <v>73</v>
      </c>
      <c r="U1" s="78"/>
      <c r="V1" s="78"/>
      <c r="W1" s="79"/>
      <c r="X1" s="38" t="s">
        <v>69</v>
      </c>
    </row>
    <row r="2" spans="1:27" x14ac:dyDescent="0.45">
      <c r="D2" s="39" t="s">
        <v>52</v>
      </c>
      <c r="E2" s="40" t="s">
        <v>53</v>
      </c>
      <c r="F2" s="39" t="s">
        <v>54</v>
      </c>
      <c r="G2" s="39" t="s">
        <v>52</v>
      </c>
      <c r="H2" s="40" t="s">
        <v>53</v>
      </c>
      <c r="I2" s="41" t="s">
        <v>55</v>
      </c>
      <c r="J2" s="41" t="s">
        <v>77</v>
      </c>
      <c r="K2" s="41" t="s">
        <v>56</v>
      </c>
      <c r="L2" s="41" t="s">
        <v>57</v>
      </c>
      <c r="M2" s="42" t="s">
        <v>59</v>
      </c>
      <c r="N2" s="41" t="s">
        <v>60</v>
      </c>
      <c r="O2" s="41" t="s">
        <v>61</v>
      </c>
      <c r="P2" s="42" t="s">
        <v>62</v>
      </c>
      <c r="Q2" s="41" t="s">
        <v>65</v>
      </c>
      <c r="R2" s="41" t="s">
        <v>66</v>
      </c>
      <c r="S2" s="42" t="s">
        <v>67</v>
      </c>
      <c r="T2" s="41" t="s">
        <v>20</v>
      </c>
      <c r="U2" s="41" t="s">
        <v>68</v>
      </c>
      <c r="V2" s="41" t="s">
        <v>22</v>
      </c>
      <c r="W2" s="42" t="s">
        <v>58</v>
      </c>
      <c r="X2" s="39"/>
      <c r="Z2" s="66"/>
      <c r="AA2" s="67"/>
    </row>
    <row r="3" spans="1:27" x14ac:dyDescent="0.45">
      <c r="A3" s="1" t="s">
        <v>39</v>
      </c>
      <c r="B3" s="2"/>
      <c r="D3" s="19">
        <f>B5</f>
        <v>130</v>
      </c>
      <c r="E3" s="21">
        <f ca="1">$B$15+RAND()*($B$16-$B$15)</f>
        <v>0.37862263166068433</v>
      </c>
      <c r="F3">
        <v>0</v>
      </c>
      <c r="G3" s="19">
        <v>130</v>
      </c>
      <c r="H3" s="21">
        <v>0.48781933670712596</v>
      </c>
      <c r="J3" s="19">
        <f>$B$7-F3/365</f>
        <v>7.6712328767123292E-2</v>
      </c>
      <c r="K3" s="23">
        <f>$B$11*optionPrice($B$4,G3,$B$6,J3,$B$9,H3,$B$10)</f>
        <v>7001.8818331056709</v>
      </c>
      <c r="L3" s="26">
        <f>$B$11*OptionDelta($B$4,G3,$B$6,J3,$B$9,H3,$B$10)</f>
        <v>526.93031474271413</v>
      </c>
      <c r="M3" s="27">
        <f>-L3</f>
        <v>-526.93031474271413</v>
      </c>
      <c r="N3" s="28"/>
      <c r="O3" s="28"/>
      <c r="P3" s="29"/>
      <c r="Q3" s="28">
        <f>($B$11*OptionGamma(G3,$B$6,J3,$B$9,H3,$B$10))*G3^2*1%</f>
        <v>3829.7534363997634</v>
      </c>
      <c r="R3" s="28">
        <f>$B$11*OptionTheta($B$4,G3,$B$6,J3,$B$9,H3,$B$10)</f>
        <v>-124.84351191674742</v>
      </c>
      <c r="S3" s="29">
        <f>$B$11*OptionVega(G3,$B$6,J3,$B$9,H3,$B$10)</f>
        <v>143.31610375533785</v>
      </c>
      <c r="W3" s="20"/>
      <c r="Z3" s="66" t="s">
        <v>130</v>
      </c>
      <c r="AA3" s="22"/>
    </row>
    <row r="4" spans="1:27" x14ac:dyDescent="0.45">
      <c r="A4" s="2" t="s">
        <v>40</v>
      </c>
      <c r="B4" s="1" t="s">
        <v>49</v>
      </c>
      <c r="D4" s="19">
        <f ca="1">D3*EXP($B$12*SQRT(1/252)*_xlfn.NORM.S.INV(RAND()))</f>
        <v>135.55145264562088</v>
      </c>
      <c r="E4" s="21">
        <f ca="1">$B$15+RAND()*($B$16-$B$15)</f>
        <v>0.35743855542820779</v>
      </c>
      <c r="F4">
        <v>1</v>
      </c>
      <c r="G4" s="19">
        <v>125.20521224331594</v>
      </c>
      <c r="H4" s="21">
        <v>0.63471325510113474</v>
      </c>
      <c r="I4" s="22">
        <f>LN(G4/G3)</f>
        <v>-3.7580361319754944E-2</v>
      </c>
      <c r="J4" s="19">
        <f t="shared" ref="J4:J31" si="0">$B$7-F4/365</f>
        <v>7.3972602739726029E-2</v>
      </c>
      <c r="K4" s="23">
        <f t="shared" ref="K4:K30" si="1">$B$11*optionPrice($B$4,G4,$B$6,J4,$B$9,H4,$B$10)</f>
        <v>6586.1687668013428</v>
      </c>
      <c r="L4" s="26">
        <f t="shared" ref="L4:L30" si="2">$B$11*OptionDelta($B$4,G4,$B$6,J4,$B$9,H4,$B$10)</f>
        <v>447.73720218630302</v>
      </c>
      <c r="M4" s="27">
        <f>-(L4-L3)</f>
        <v>79.193112556411108</v>
      </c>
      <c r="N4" s="30">
        <f>-L3*(G4-G3)</f>
        <v>2526.5190217540435</v>
      </c>
      <c r="O4" s="31">
        <f>K4-K3</f>
        <v>-415.71306630432809</v>
      </c>
      <c r="P4" s="29">
        <f>N4+O4</f>
        <v>2110.8059554497154</v>
      </c>
      <c r="Q4" s="28">
        <f>($B$11*OptionGamma(G4,$B$6,J4,$B$9,H4,$B$10))*G4^2*1%</f>
        <v>2868.6087603487163</v>
      </c>
      <c r="R4" s="28">
        <f t="shared" ref="R4:R30" si="3">$B$11*OptionTheta($B$4,G4,$B$6,J4,$B$9,H4,$B$10)</f>
        <v>-158.30826759130449</v>
      </c>
      <c r="S4" s="29">
        <f t="shared" ref="S4:S29" si="4">$B$11*OptionVega(G4,$B$6,J4,$B$9,H4,$B$10)</f>
        <v>134.68517289068279</v>
      </c>
      <c r="T4" s="32">
        <f>100*(0.5*Q3*I4^2)</f>
        <v>270.43489026490084</v>
      </c>
      <c r="U4" s="32">
        <f>R3</f>
        <v>-124.84351191674742</v>
      </c>
      <c r="V4" s="32">
        <f>100*S3*(H4-H3)</f>
        <v>2105.2264049583891</v>
      </c>
      <c r="W4" s="27">
        <f>SUM(T4:V4)</f>
        <v>2250.8177833065424</v>
      </c>
      <c r="X4" s="32">
        <f>P4-W4</f>
        <v>-140.01182785682704</v>
      </c>
      <c r="Z4" s="52">
        <f>_xlfn.STDEV.S(I4:I31)*SQRT(256)</f>
        <v>0.42166190107727769</v>
      </c>
      <c r="AA4" s="22"/>
    </row>
    <row r="5" spans="1:27" x14ac:dyDescent="0.45">
      <c r="A5" s="2" t="s">
        <v>33</v>
      </c>
      <c r="B5" s="2">
        <v>130</v>
      </c>
      <c r="D5" s="19">
        <f t="shared" ref="D5:D31" ca="1" si="5">D4*EXP($B$12*SQRT(1/252)*_xlfn.NORM.S.INV(RAND()))</f>
        <v>141.1870353061833</v>
      </c>
      <c r="E5" s="21">
        <f t="shared" ref="E4:E31" ca="1" si="6">$B$15+RAND()*($B$16-$B$15)</f>
        <v>0.32966318176607112</v>
      </c>
      <c r="F5">
        <v>2</v>
      </c>
      <c r="G5" s="19">
        <v>126.08619273946887</v>
      </c>
      <c r="H5" s="21">
        <v>0.73005493568171476</v>
      </c>
      <c r="I5" s="22">
        <f t="shared" ref="I5:I31" si="7">LN(G5/G4)</f>
        <v>7.0116533077183426E-3</v>
      </c>
      <c r="J5" s="19">
        <f t="shared" si="0"/>
        <v>7.1232876712328766E-2</v>
      </c>
      <c r="K5" s="23">
        <f t="shared" si="1"/>
        <v>8102.2045276347117</v>
      </c>
      <c r="L5" s="26">
        <f t="shared" si="2"/>
        <v>476.292466372457</v>
      </c>
      <c r="M5" s="27">
        <f>-(L5-L4)</f>
        <v>-28.555264186153977</v>
      </c>
      <c r="N5" s="30">
        <f t="shared" ref="N5:N31" si="8">-L4*(G5-G4)</f>
        <v>-394.44774252821372</v>
      </c>
      <c r="O5" s="31">
        <f t="shared" ref="O5:O31" si="9">K5-K4</f>
        <v>1516.0357608333688</v>
      </c>
      <c r="P5" s="29">
        <f t="shared" ref="P5:P31" si="10">N5+O5</f>
        <v>1121.5880183051552</v>
      </c>
      <c r="Q5" s="28">
        <f t="shared" ref="Q5:Q30" si="11">($B$11*OptionGamma(G5,$B$6,J5,$B$9,H5,$B$10))*G5^2*1%</f>
        <v>2576.9979068814828</v>
      </c>
      <c r="R5" s="28">
        <f t="shared" si="3"/>
        <v>-188.14916209507609</v>
      </c>
      <c r="S5" s="29">
        <f t="shared" si="4"/>
        <v>134.01397553470451</v>
      </c>
      <c r="T5" s="32">
        <f>100*(0.5*Q4*I5^2)</f>
        <v>7.0515110870732229</v>
      </c>
      <c r="U5" s="32">
        <f>R4</f>
        <v>-158.30826759130449</v>
      </c>
      <c r="V5" s="32">
        <f>100*S4*(H5-H4)</f>
        <v>1284.1110732683674</v>
      </c>
      <c r="W5" s="27">
        <f t="shared" ref="W5:W31" si="12">SUM(T5:V5)</f>
        <v>1132.854316764136</v>
      </c>
      <c r="X5" s="32">
        <f t="shared" ref="X5:X31" si="13">P5-W5</f>
        <v>-11.266298458980827</v>
      </c>
      <c r="Z5" s="66"/>
      <c r="AA5" s="22"/>
    </row>
    <row r="6" spans="1:27" x14ac:dyDescent="0.45">
      <c r="A6" s="2" t="s">
        <v>34</v>
      </c>
      <c r="B6" s="2">
        <v>130</v>
      </c>
      <c r="D6" s="19">
        <f t="shared" ca="1" si="5"/>
        <v>144.33930796211945</v>
      </c>
      <c r="E6" s="21">
        <f ca="1">$B$15+RAND()*($B$16-$B$15)</f>
        <v>0.71831479326564907</v>
      </c>
      <c r="F6">
        <v>3</v>
      </c>
      <c r="G6" s="19">
        <v>126.49800009172128</v>
      </c>
      <c r="H6" s="21">
        <v>0.61603859406147676</v>
      </c>
      <c r="I6" s="22">
        <f t="shared" si="7"/>
        <v>3.2607560474465246E-3</v>
      </c>
      <c r="J6" s="19">
        <f t="shared" si="0"/>
        <v>6.8493150684931517E-2</v>
      </c>
      <c r="K6" s="23">
        <f t="shared" si="1"/>
        <v>6606.6174076962125</v>
      </c>
      <c r="L6" s="26">
        <f t="shared" si="2"/>
        <v>464.63397372146557</v>
      </c>
      <c r="M6" s="27">
        <f t="shared" ref="M6:M29" si="14">-(L6-L5)</f>
        <v>11.658492650991434</v>
      </c>
      <c r="N6" s="30">
        <f t="shared" si="8"/>
        <v>-196.14073947461151</v>
      </c>
      <c r="O6" s="31">
        <f t="shared" si="9"/>
        <v>-1495.5871199384992</v>
      </c>
      <c r="P6" s="29">
        <f t="shared" si="10"/>
        <v>-1691.7278594131108</v>
      </c>
      <c r="Q6" s="28">
        <f t="shared" si="11"/>
        <v>3117.8214808824332</v>
      </c>
      <c r="R6" s="28">
        <f t="shared" si="3"/>
        <v>-162.08552305575589</v>
      </c>
      <c r="S6" s="29">
        <f t="shared" si="4"/>
        <v>131.55468230256753</v>
      </c>
      <c r="T6" s="32">
        <f t="shared" ref="T6:T31" si="15">100*(0.5*Q5*I6^2)</f>
        <v>1.3700003778663064</v>
      </c>
      <c r="U6" s="32">
        <f t="shared" ref="U6:U31" si="16">R5</f>
        <v>-188.14916209507609</v>
      </c>
      <c r="V6" s="32">
        <f t="shared" ref="V6:V30" si="17">100*S5*(H6-H5)</f>
        <v>-1527.9783216451087</v>
      </c>
      <c r="W6" s="27">
        <f t="shared" si="12"/>
        <v>-1714.7574833623185</v>
      </c>
      <c r="X6" s="32">
        <f t="shared" si="13"/>
        <v>23.029623949207689</v>
      </c>
      <c r="Z6" s="66"/>
      <c r="AA6" s="22"/>
    </row>
    <row r="7" spans="1:27" x14ac:dyDescent="0.45">
      <c r="A7" s="2" t="s">
        <v>35</v>
      </c>
      <c r="B7" s="3">
        <v>7.6712328767123292E-2</v>
      </c>
      <c r="D7" s="19">
        <f t="shared" ca="1" si="5"/>
        <v>139.79556200466186</v>
      </c>
      <c r="E7" s="21">
        <f t="shared" ca="1" si="6"/>
        <v>0.39657992267170028</v>
      </c>
      <c r="F7">
        <v>4</v>
      </c>
      <c r="G7" s="19">
        <v>121.80689111887278</v>
      </c>
      <c r="H7" s="21">
        <v>0.23820738270174702</v>
      </c>
      <c r="I7" s="22">
        <f t="shared" si="7"/>
        <v>-3.7789567484985541E-2</v>
      </c>
      <c r="J7" s="19">
        <f t="shared" si="0"/>
        <v>6.5753424657534254E-2</v>
      </c>
      <c r="K7" s="23">
        <f t="shared" si="1"/>
        <v>563.98940805989639</v>
      </c>
      <c r="L7" s="26">
        <f t="shared" si="2"/>
        <v>150.28871778551468</v>
      </c>
      <c r="M7" s="27">
        <f t="shared" si="14"/>
        <v>314.34525593595089</v>
      </c>
      <c r="N7" s="30">
        <f t="shared" si="8"/>
        <v>2179.6486032150196</v>
      </c>
      <c r="O7" s="31">
        <f t="shared" si="9"/>
        <v>-6042.6279996363164</v>
      </c>
      <c r="P7" s="29">
        <f t="shared" si="10"/>
        <v>-3862.9793964212968</v>
      </c>
      <c r="Q7" s="28">
        <f t="shared" si="11"/>
        <v>4655.4954171659947</v>
      </c>
      <c r="R7" s="28">
        <f t="shared" si="3"/>
        <v>-36.18707479166229</v>
      </c>
      <c r="S7" s="29">
        <f t="shared" si="4"/>
        <v>72.918797490614097</v>
      </c>
      <c r="T7" s="32">
        <f t="shared" si="15"/>
        <v>222.620468204601</v>
      </c>
      <c r="U7" s="32">
        <f t="shared" si="16"/>
        <v>-162.08552305575589</v>
      </c>
      <c r="V7" s="32">
        <f t="shared" si="17"/>
        <v>-4970.5464974423485</v>
      </c>
      <c r="W7" s="27">
        <f t="shared" si="12"/>
        <v>-4910.011552293503</v>
      </c>
      <c r="X7" s="32">
        <f t="shared" si="13"/>
        <v>1047.0321558722062</v>
      </c>
      <c r="Z7" s="66"/>
      <c r="AA7" s="22"/>
    </row>
    <row r="8" spans="1:27" x14ac:dyDescent="0.45">
      <c r="A8" s="2" t="s">
        <v>36</v>
      </c>
      <c r="B8" s="24">
        <v>0.43120000000000003</v>
      </c>
      <c r="D8" s="19">
        <f t="shared" ca="1" si="5"/>
        <v>151.48318067682814</v>
      </c>
      <c r="E8" s="21">
        <f t="shared" ca="1" si="6"/>
        <v>0.22840891219770193</v>
      </c>
      <c r="F8">
        <v>5</v>
      </c>
      <c r="G8" s="19">
        <v>127.57287723804075</v>
      </c>
      <c r="H8" s="21">
        <v>0.6000195493684396</v>
      </c>
      <c r="I8" s="22">
        <f t="shared" si="7"/>
        <v>4.625085648002606E-2</v>
      </c>
      <c r="J8" s="19">
        <f t="shared" si="0"/>
        <v>6.3013698630136991E-2</v>
      </c>
      <c r="K8" s="23">
        <f t="shared" si="1"/>
        <v>6578.0705129436828</v>
      </c>
      <c r="L8" s="26">
        <f t="shared" si="2"/>
        <v>480.1340638618783</v>
      </c>
      <c r="M8" s="27">
        <f t="shared" si="14"/>
        <v>-329.84534607636363</v>
      </c>
      <c r="N8" s="30">
        <f t="shared" si="8"/>
        <v>-866.56266061882889</v>
      </c>
      <c r="O8" s="31">
        <f t="shared" si="9"/>
        <v>6014.0811048837868</v>
      </c>
      <c r="P8" s="29">
        <f t="shared" si="10"/>
        <v>5147.5184442649579</v>
      </c>
      <c r="Q8" s="28">
        <f t="shared" si="11"/>
        <v>3374.7890094661057</v>
      </c>
      <c r="R8" s="28">
        <f t="shared" si="3"/>
        <v>-166.43879653288627</v>
      </c>
      <c r="S8" s="29">
        <f t="shared" si="4"/>
        <v>127.59891987805084</v>
      </c>
      <c r="T8" s="32">
        <f t="shared" si="15"/>
        <v>497.93822490195305</v>
      </c>
      <c r="U8" s="32">
        <f t="shared" si="16"/>
        <v>-36.18707479166229</v>
      </c>
      <c r="V8" s="32">
        <f t="shared" si="17"/>
        <v>2638.2908110808871</v>
      </c>
      <c r="W8" s="27">
        <f t="shared" si="12"/>
        <v>3100.041961191178</v>
      </c>
      <c r="X8" s="32">
        <f t="shared" si="13"/>
        <v>2047.4764830737799</v>
      </c>
      <c r="Z8" s="66"/>
      <c r="AA8" s="22"/>
    </row>
    <row r="9" spans="1:27" x14ac:dyDescent="0.45">
      <c r="A9" s="2" t="s">
        <v>37</v>
      </c>
      <c r="B9" s="15">
        <v>0</v>
      </c>
      <c r="D9" s="19">
        <f t="shared" ca="1" si="5"/>
        <v>149.83990843877407</v>
      </c>
      <c r="E9" s="21">
        <f t="shared" ca="1" si="6"/>
        <v>0.18980565865345828</v>
      </c>
      <c r="F9">
        <v>6</v>
      </c>
      <c r="G9" s="19">
        <v>130.77720787595291</v>
      </c>
      <c r="H9" s="21">
        <v>0.20193927797261965</v>
      </c>
      <c r="I9" s="22">
        <f t="shared" si="7"/>
        <v>2.4807384640573745E-2</v>
      </c>
      <c r="J9" s="19">
        <f t="shared" si="0"/>
        <v>6.0273972602739728E-2</v>
      </c>
      <c r="K9" s="23">
        <f t="shared" si="1"/>
        <v>2985.8564087588065</v>
      </c>
      <c r="L9" s="26">
        <f t="shared" si="2"/>
        <v>557.65202205276864</v>
      </c>
      <c r="M9" s="27">
        <f t="shared" si="14"/>
        <v>-77.51795819089034</v>
      </c>
      <c r="N9" s="30">
        <f t="shared" si="8"/>
        <v>-1538.5082911378925</v>
      </c>
      <c r="O9" s="31">
        <f t="shared" si="9"/>
        <v>-3592.2141041848763</v>
      </c>
      <c r="P9" s="29">
        <f t="shared" si="10"/>
        <v>-5130.7223953227685</v>
      </c>
      <c r="Q9" s="28">
        <f t="shared" si="11"/>
        <v>10413.33185575953</v>
      </c>
      <c r="R9" s="28">
        <f t="shared" si="3"/>
        <v>-58.171256810241907</v>
      </c>
      <c r="S9" s="29">
        <f t="shared" si="4"/>
        <v>126.74776919810931</v>
      </c>
      <c r="T9" s="32">
        <f t="shared" si="15"/>
        <v>103.84332639849691</v>
      </c>
      <c r="U9" s="32">
        <f t="shared" si="16"/>
        <v>-166.43879653288627</v>
      </c>
      <c r="V9" s="32">
        <f t="shared" si="17"/>
        <v>-5079.461265486796</v>
      </c>
      <c r="W9" s="27">
        <f t="shared" si="12"/>
        <v>-5142.056735621185</v>
      </c>
      <c r="X9" s="32">
        <f t="shared" si="13"/>
        <v>11.334340298416464</v>
      </c>
      <c r="Z9" s="66"/>
      <c r="AA9" s="22"/>
    </row>
    <row r="10" spans="1:27" x14ac:dyDescent="0.45">
      <c r="A10" s="2" t="s">
        <v>38</v>
      </c>
      <c r="B10" s="15">
        <v>0</v>
      </c>
      <c r="D10" s="19">
        <f t="shared" ca="1" si="5"/>
        <v>158.05160627029889</v>
      </c>
      <c r="E10" s="21">
        <f t="shared" ca="1" si="6"/>
        <v>0.32920406231827881</v>
      </c>
      <c r="F10">
        <v>7</v>
      </c>
      <c r="G10" s="19">
        <v>133.56166692606203</v>
      </c>
      <c r="H10" s="21">
        <v>0.6865418316562687</v>
      </c>
      <c r="I10" s="22">
        <f t="shared" si="7"/>
        <v>2.1068123599190976E-2</v>
      </c>
      <c r="J10" s="19">
        <f t="shared" si="0"/>
        <v>5.7534246575342465E-2</v>
      </c>
      <c r="K10" s="23">
        <f t="shared" si="1"/>
        <v>10544.513835115524</v>
      </c>
      <c r="L10" s="26">
        <f t="shared" si="2"/>
        <v>597.34136767991401</v>
      </c>
      <c r="M10" s="27">
        <f t="shared" si="14"/>
        <v>-39.689345627145372</v>
      </c>
      <c r="N10" s="30">
        <f t="shared" si="8"/>
        <v>-1552.7592196164824</v>
      </c>
      <c r="O10" s="31">
        <f t="shared" si="9"/>
        <v>7558.6574263567172</v>
      </c>
      <c r="P10" s="29">
        <f t="shared" si="10"/>
        <v>6005.8982067402349</v>
      </c>
      <c r="Q10" s="28">
        <f t="shared" si="11"/>
        <v>3138.8486337891404</v>
      </c>
      <c r="R10" s="28">
        <f t="shared" si="3"/>
        <v>-202.66629196969595</v>
      </c>
      <c r="S10" s="29">
        <f t="shared" si="4"/>
        <v>123.98347588219406</v>
      </c>
      <c r="T10" s="32">
        <f t="shared" si="15"/>
        <v>231.10611039764387</v>
      </c>
      <c r="U10" s="32">
        <f t="shared" si="16"/>
        <v>-58.171256810241907</v>
      </c>
      <c r="V10" s="32">
        <f t="shared" si="17"/>
        <v>6142.2292627109518</v>
      </c>
      <c r="W10" s="27">
        <f t="shared" si="12"/>
        <v>6315.1641162983542</v>
      </c>
      <c r="X10" s="32">
        <f t="shared" si="13"/>
        <v>-309.26590955811935</v>
      </c>
      <c r="Z10" s="66"/>
      <c r="AA10" s="22"/>
    </row>
    <row r="11" spans="1:27" x14ac:dyDescent="0.45">
      <c r="A11" s="2" t="s">
        <v>41</v>
      </c>
      <c r="B11" s="48">
        <v>1000</v>
      </c>
      <c r="D11" s="19">
        <f t="shared" ca="1" si="5"/>
        <v>165.96518013467826</v>
      </c>
      <c r="E11" s="21">
        <f t="shared" ca="1" si="6"/>
        <v>0.23671967230741237</v>
      </c>
      <c r="F11">
        <v>8</v>
      </c>
      <c r="G11" s="19">
        <v>133.10107484963498</v>
      </c>
      <c r="H11" s="21">
        <v>0.44409272044535464</v>
      </c>
      <c r="I11" s="22">
        <f t="shared" si="7"/>
        <v>-3.454494852943091E-3</v>
      </c>
      <c r="J11" s="19">
        <f t="shared" si="0"/>
        <v>5.4794520547945209E-2</v>
      </c>
      <c r="K11" s="23">
        <f t="shared" si="1"/>
        <v>7143.2017772685012</v>
      </c>
      <c r="L11" s="26">
        <f t="shared" si="2"/>
        <v>609.7829387128196</v>
      </c>
      <c r="M11" s="27">
        <f t="shared" si="14"/>
        <v>-12.441571032905586</v>
      </c>
      <c r="N11" s="30">
        <f t="shared" si="8"/>
        <v>275.1307008754643</v>
      </c>
      <c r="O11" s="31">
        <f t="shared" si="9"/>
        <v>-3401.3120578470225</v>
      </c>
      <c r="P11" s="29">
        <f t="shared" si="10"/>
        <v>-3126.1813569715582</v>
      </c>
      <c r="Q11" s="28">
        <f t="shared" si="11"/>
        <v>4913.3344094540589</v>
      </c>
      <c r="R11" s="28">
        <f t="shared" si="3"/>
        <v>-132.73968184698256</v>
      </c>
      <c r="S11" s="29">
        <f t="shared" si="4"/>
        <v>119.56033119738208</v>
      </c>
      <c r="T11" s="32">
        <f t="shared" si="15"/>
        <v>1.872877952743766</v>
      </c>
      <c r="U11" s="32">
        <f t="shared" si="16"/>
        <v>-202.66629196969595</v>
      </c>
      <c r="V11" s="32">
        <f t="shared" si="17"/>
        <v>-3005.9683532477748</v>
      </c>
      <c r="W11" s="27">
        <f t="shared" si="12"/>
        <v>-3206.761767264727</v>
      </c>
      <c r="X11" s="32">
        <f t="shared" si="13"/>
        <v>80.580410293168825</v>
      </c>
      <c r="Z11" s="66"/>
      <c r="AA11" s="22"/>
    </row>
    <row r="12" spans="1:27" x14ac:dyDescent="0.45">
      <c r="A12" s="2" t="s">
        <v>42</v>
      </c>
      <c r="B12" s="25">
        <v>0.6</v>
      </c>
      <c r="D12" s="19">
        <f t="shared" ca="1" si="5"/>
        <v>164.66366157644626</v>
      </c>
      <c r="E12" s="21">
        <f t="shared" ca="1" si="6"/>
        <v>0.1894489184211828</v>
      </c>
      <c r="F12">
        <v>9</v>
      </c>
      <c r="G12" s="19">
        <v>126.47528424348155</v>
      </c>
      <c r="H12" s="21">
        <v>0.2489246035506609</v>
      </c>
      <c r="I12" s="22">
        <f t="shared" si="7"/>
        <v>-5.1061893269180307E-2</v>
      </c>
      <c r="J12" s="19">
        <f t="shared" si="0"/>
        <v>5.2054794520547953E-2</v>
      </c>
      <c r="K12" s="23">
        <f t="shared" si="1"/>
        <v>1476.4254764934819</v>
      </c>
      <c r="L12" s="26">
        <f t="shared" si="2"/>
        <v>324.34070216158261</v>
      </c>
      <c r="M12" s="27">
        <f t="shared" si="14"/>
        <v>285.44223655123699</v>
      </c>
      <c r="N12" s="30">
        <f t="shared" si="8"/>
        <v>4040.2940671160327</v>
      </c>
      <c r="O12" s="31">
        <f t="shared" si="9"/>
        <v>-5666.7763007750191</v>
      </c>
      <c r="P12" s="29">
        <f t="shared" si="10"/>
        <v>-1626.4822336589864</v>
      </c>
      <c r="Q12" s="28">
        <f t="shared" si="11"/>
        <v>8008.3864873259427</v>
      </c>
      <c r="R12" s="28">
        <f t="shared" si="3"/>
        <v>-67.976345449334062</v>
      </c>
      <c r="S12" s="29">
        <f t="shared" si="4"/>
        <v>103.77042245842064</v>
      </c>
      <c r="T12" s="32">
        <f t="shared" si="15"/>
        <v>640.53100292266993</v>
      </c>
      <c r="U12" s="32">
        <f t="shared" si="16"/>
        <v>-132.73968184698256</v>
      </c>
      <c r="V12" s="32">
        <f t="shared" si="17"/>
        <v>-2333.4364695098961</v>
      </c>
      <c r="W12" s="27">
        <f t="shared" si="12"/>
        <v>-1825.6451484342087</v>
      </c>
      <c r="X12" s="32">
        <f t="shared" si="13"/>
        <v>199.16291477522236</v>
      </c>
      <c r="Z12" s="66"/>
      <c r="AA12" s="22"/>
    </row>
    <row r="13" spans="1:27" x14ac:dyDescent="0.45">
      <c r="D13" s="19">
        <f t="shared" ca="1" si="5"/>
        <v>170.13383695271941</v>
      </c>
      <c r="E13" s="21">
        <f t="shared" ca="1" si="6"/>
        <v>0.45726518548385775</v>
      </c>
      <c r="F13">
        <v>10</v>
      </c>
      <c r="G13" s="19">
        <v>124.49556261415174</v>
      </c>
      <c r="H13" s="21">
        <v>0.18063191879890644</v>
      </c>
      <c r="I13" s="22">
        <f t="shared" si="7"/>
        <v>-1.5776833987490243E-2</v>
      </c>
      <c r="J13" s="19">
        <f t="shared" si="0"/>
        <v>4.9315068493150691E-2</v>
      </c>
      <c r="K13" s="23">
        <f t="shared" si="1"/>
        <v>365.22101122519859</v>
      </c>
      <c r="L13" s="26">
        <f t="shared" si="2"/>
        <v>144.91193538028267</v>
      </c>
      <c r="M13" s="27">
        <f t="shared" si="14"/>
        <v>179.42876678129994</v>
      </c>
      <c r="N13" s="30">
        <f t="shared" si="8"/>
        <v>642.10430334130501</v>
      </c>
      <c r="O13" s="31">
        <f t="shared" si="9"/>
        <v>-1111.2044652682835</v>
      </c>
      <c r="P13" s="29">
        <f t="shared" si="10"/>
        <v>-469.10016192697844</v>
      </c>
      <c r="Q13" s="28">
        <f t="shared" si="11"/>
        <v>7070.9751244430363</v>
      </c>
      <c r="R13" s="28">
        <f t="shared" si="3"/>
        <v>-31.60424646331532</v>
      </c>
      <c r="S13" s="29">
        <f t="shared" si="4"/>
        <v>62.987365701738852</v>
      </c>
      <c r="T13" s="32">
        <f t="shared" si="15"/>
        <v>99.667769662646606</v>
      </c>
      <c r="U13" s="32">
        <f t="shared" si="16"/>
        <v>-67.976345449334062</v>
      </c>
      <c r="V13" s="32">
        <f t="shared" si="17"/>
        <v>-708.67607475093007</v>
      </c>
      <c r="W13" s="27">
        <f t="shared" si="12"/>
        <v>-676.98465053761754</v>
      </c>
      <c r="X13" s="32">
        <f t="shared" si="13"/>
        <v>207.8844886106391</v>
      </c>
      <c r="Z13" s="66"/>
      <c r="AA13" s="22"/>
    </row>
    <row r="14" spans="1:27" ht="30" x14ac:dyDescent="0.45">
      <c r="A14" s="17" t="s">
        <v>48</v>
      </c>
      <c r="B14" s="14"/>
      <c r="D14" s="19">
        <f t="shared" ca="1" si="5"/>
        <v>163.97955631147408</v>
      </c>
      <c r="E14" s="21">
        <f t="shared" ca="1" si="6"/>
        <v>0.73355828377475318</v>
      </c>
      <c r="F14">
        <v>11</v>
      </c>
      <c r="G14" s="19">
        <v>124.56644948696996</v>
      </c>
      <c r="H14" s="21">
        <v>0.47753132408255006</v>
      </c>
      <c r="I14" s="22">
        <f t="shared" si="7"/>
        <v>5.6923072398147795E-4</v>
      </c>
      <c r="J14" s="19">
        <f t="shared" si="0"/>
        <v>4.6575342465753428E-2</v>
      </c>
      <c r="K14" s="23">
        <f t="shared" si="1"/>
        <v>2956.1341012012435</v>
      </c>
      <c r="L14" s="26">
        <f t="shared" si="2"/>
        <v>358.39371411726052</v>
      </c>
      <c r="M14" s="27">
        <f t="shared" si="14"/>
        <v>-213.48177873697784</v>
      </c>
      <c r="N14" s="30">
        <f t="shared" si="8"/>
        <v>-10.272353933144363</v>
      </c>
      <c r="O14" s="31">
        <f t="shared" si="9"/>
        <v>2590.9130899760448</v>
      </c>
      <c r="P14" s="29">
        <f t="shared" si="10"/>
        <v>2580.6407360429002</v>
      </c>
      <c r="Q14" s="28">
        <f t="shared" si="11"/>
        <v>4514.986884419508</v>
      </c>
      <c r="R14" s="28">
        <f t="shared" si="3"/>
        <v>-141.03839675557089</v>
      </c>
      <c r="S14" s="29">
        <f t="shared" si="4"/>
        <v>100.41865837602006</v>
      </c>
      <c r="T14" s="32">
        <f t="shared" si="15"/>
        <v>0.11455814682096177</v>
      </c>
      <c r="U14" s="32">
        <f t="shared" si="16"/>
        <v>-31.60424646331532</v>
      </c>
      <c r="V14" s="32">
        <f t="shared" si="17"/>
        <v>1870.0911417229638</v>
      </c>
      <c r="W14" s="27">
        <f t="shared" si="12"/>
        <v>1838.6014534064695</v>
      </c>
      <c r="X14" s="32">
        <f t="shared" si="13"/>
        <v>742.0392826364307</v>
      </c>
      <c r="Z14" s="66"/>
    </row>
    <row r="15" spans="1:27" x14ac:dyDescent="0.45">
      <c r="A15" s="14" t="s">
        <v>43</v>
      </c>
      <c r="B15" s="16">
        <v>0.15</v>
      </c>
      <c r="D15" s="19">
        <f t="shared" ca="1" si="5"/>
        <v>166.11987128284929</v>
      </c>
      <c r="E15" s="21">
        <f t="shared" ca="1" si="6"/>
        <v>0.5961262967840979</v>
      </c>
      <c r="F15">
        <v>12</v>
      </c>
      <c r="G15" s="19">
        <v>129.72498514525023</v>
      </c>
      <c r="H15" s="21">
        <v>0.39774745932486744</v>
      </c>
      <c r="I15" s="22">
        <f t="shared" si="7"/>
        <v>4.057740640409379E-2</v>
      </c>
      <c r="J15" s="19">
        <f t="shared" si="0"/>
        <v>4.3835616438356172E-2</v>
      </c>
      <c r="K15" s="23">
        <f t="shared" si="1"/>
        <v>4176.9840372564813</v>
      </c>
      <c r="L15" s="26">
        <f t="shared" si="2"/>
        <v>506.4656935428963</v>
      </c>
      <c r="M15" s="27">
        <f t="shared" si="14"/>
        <v>-148.07197942563579</v>
      </c>
      <c r="N15" s="30">
        <f t="shared" si="8"/>
        <v>-1848.786753977394</v>
      </c>
      <c r="O15" s="31">
        <f t="shared" si="9"/>
        <v>1220.8499360552378</v>
      </c>
      <c r="P15" s="29">
        <f t="shared" si="10"/>
        <v>-627.93681792215625</v>
      </c>
      <c r="Q15" s="28">
        <f t="shared" si="11"/>
        <v>6213.7772275390253</v>
      </c>
      <c r="R15" s="28">
        <f t="shared" si="3"/>
        <v>-134.66280218834592</v>
      </c>
      <c r="S15" s="29">
        <f t="shared" si="4"/>
        <v>108.3403443315887</v>
      </c>
      <c r="T15" s="32">
        <f t="shared" si="15"/>
        <v>371.70214453437984</v>
      </c>
      <c r="U15" s="32">
        <f t="shared" si="16"/>
        <v>-141.03839675557089</v>
      </c>
      <c r="V15" s="32">
        <f t="shared" si="17"/>
        <v>-801.17886590203182</v>
      </c>
      <c r="W15" s="27">
        <f t="shared" si="12"/>
        <v>-570.51511812322292</v>
      </c>
      <c r="X15" s="32">
        <f t="shared" si="13"/>
        <v>-57.421699798933332</v>
      </c>
      <c r="Z15" s="66"/>
    </row>
    <row r="16" spans="1:27" x14ac:dyDescent="0.45">
      <c r="A16" s="14" t="s">
        <v>44</v>
      </c>
      <c r="B16" s="16">
        <v>0.75</v>
      </c>
      <c r="D16" s="19">
        <f t="shared" ca="1" si="5"/>
        <v>168.79719984041557</v>
      </c>
      <c r="E16" s="21">
        <f t="shared" ca="1" si="6"/>
        <v>0.60186692311785039</v>
      </c>
      <c r="F16">
        <v>13</v>
      </c>
      <c r="G16" s="19">
        <v>132.36917779200249</v>
      </c>
      <c r="H16" s="21">
        <v>0.36529732957380423</v>
      </c>
      <c r="I16" s="22">
        <f t="shared" si="7"/>
        <v>2.0178109524511198E-2</v>
      </c>
      <c r="J16" s="19">
        <f t="shared" si="0"/>
        <v>4.1095890410958909E-2</v>
      </c>
      <c r="K16" s="23">
        <f t="shared" si="1"/>
        <v>5173.9076845010313</v>
      </c>
      <c r="L16" s="26">
        <f t="shared" si="2"/>
        <v>610.61006646178134</v>
      </c>
      <c r="M16" s="27">
        <f t="shared" si="14"/>
        <v>-104.14437291888504</v>
      </c>
      <c r="N16" s="30">
        <f t="shared" si="8"/>
        <v>-1339.1928626984095</v>
      </c>
      <c r="O16" s="31">
        <f t="shared" si="9"/>
        <v>996.92364724455001</v>
      </c>
      <c r="P16" s="29">
        <f t="shared" si="10"/>
        <v>-342.26921545385949</v>
      </c>
      <c r="Q16" s="28">
        <f t="shared" si="11"/>
        <v>6855.1368654719163</v>
      </c>
      <c r="R16" s="28">
        <f t="shared" si="3"/>
        <v>-125.3101543045891</v>
      </c>
      <c r="S16" s="29">
        <f t="shared" si="4"/>
        <v>102.91081606108892</v>
      </c>
      <c r="T16" s="32">
        <f t="shared" si="15"/>
        <v>126.49886634920651</v>
      </c>
      <c r="U16" s="32">
        <f t="shared" si="16"/>
        <v>-134.66280218834592</v>
      </c>
      <c r="V16" s="32">
        <f t="shared" si="17"/>
        <v>-351.56582308349181</v>
      </c>
      <c r="W16" s="27">
        <f t="shared" si="12"/>
        <v>-359.72975892263122</v>
      </c>
      <c r="X16" s="32">
        <f t="shared" si="13"/>
        <v>17.460543468771732</v>
      </c>
      <c r="Z16" s="66"/>
    </row>
    <row r="17" spans="4:26" x14ac:dyDescent="0.45">
      <c r="D17" s="19">
        <f t="shared" ca="1" si="5"/>
        <v>170.02779533159364</v>
      </c>
      <c r="E17" s="21">
        <f t="shared" ca="1" si="6"/>
        <v>0.15781706886749089</v>
      </c>
      <c r="F17">
        <v>14</v>
      </c>
      <c r="G17" s="19">
        <v>126.37031016946737</v>
      </c>
      <c r="H17" s="21">
        <v>0.61369949608677898</v>
      </c>
      <c r="I17" s="22">
        <f t="shared" si="7"/>
        <v>-4.637825404627989E-2</v>
      </c>
      <c r="J17" s="19">
        <f t="shared" si="0"/>
        <v>3.8356164383561646E-2</v>
      </c>
      <c r="K17" s="23">
        <f>$B$11*optionPrice($B$4,G17,$B$6,J17,$B$9,H17,$B$10)</f>
        <v>4497.3517640732443</v>
      </c>
      <c r="L17" s="26">
        <f t="shared" si="2"/>
        <v>430.33910162757172</v>
      </c>
      <c r="M17" s="27">
        <f t="shared" si="14"/>
        <v>180.27096483420962</v>
      </c>
      <c r="N17" s="30">
        <f t="shared" si="8"/>
        <v>3662.9689576915953</v>
      </c>
      <c r="O17" s="31">
        <f t="shared" si="9"/>
        <v>-676.55592042778699</v>
      </c>
      <c r="P17" s="29">
        <f t="shared" si="10"/>
        <v>2986.4130372638083</v>
      </c>
      <c r="Q17" s="28">
        <f t="shared" si="11"/>
        <v>4130.4060152431475</v>
      </c>
      <c r="R17" s="28">
        <f t="shared" si="3"/>
        <v>-213.09900296100096</v>
      </c>
      <c r="S17" s="29">
        <f t="shared" si="4"/>
        <v>97.226282911340519</v>
      </c>
      <c r="T17" s="32">
        <f t="shared" si="15"/>
        <v>737.25024367034575</v>
      </c>
      <c r="U17" s="32">
        <f t="shared" si="16"/>
        <v>-125.3101543045891</v>
      </c>
      <c r="V17" s="32">
        <f t="shared" si="17"/>
        <v>2556.3269667192726</v>
      </c>
      <c r="W17" s="27">
        <f t="shared" si="12"/>
        <v>3168.2670560850293</v>
      </c>
      <c r="X17" s="32">
        <f t="shared" si="13"/>
        <v>-181.85401882122096</v>
      </c>
      <c r="Z17" s="66"/>
    </row>
    <row r="18" spans="4:26" x14ac:dyDescent="0.45">
      <c r="D18" s="19">
        <f t="shared" ca="1" si="5"/>
        <v>162.46547638585662</v>
      </c>
      <c r="E18" s="21">
        <f t="shared" ca="1" si="6"/>
        <v>0.34247454348984413</v>
      </c>
      <c r="F18">
        <v>15</v>
      </c>
      <c r="G18" s="19">
        <v>124.52863926408058</v>
      </c>
      <c r="H18" s="21">
        <v>0.1503891872099036</v>
      </c>
      <c r="I18" s="22">
        <f t="shared" si="7"/>
        <v>-1.4680842521906013E-2</v>
      </c>
      <c r="J18" s="19">
        <f t="shared" si="0"/>
        <v>3.561643835616439E-2</v>
      </c>
      <c r="K18" s="23">
        <f t="shared" si="1"/>
        <v>102.25693435027061</v>
      </c>
      <c r="L18" s="26">
        <f t="shared" si="2"/>
        <v>66.701980795972517</v>
      </c>
      <c r="M18" s="27">
        <f t="shared" si="14"/>
        <v>363.63712083159919</v>
      </c>
      <c r="N18" s="30">
        <f t="shared" si="8"/>
        <v>792.54300291778861</v>
      </c>
      <c r="O18" s="31">
        <f t="shared" si="9"/>
        <v>-4395.0948297229734</v>
      </c>
      <c r="P18" s="29">
        <f t="shared" si="10"/>
        <v>-3602.5518268051846</v>
      </c>
      <c r="Q18" s="28">
        <f t="shared" si="11"/>
        <v>5675.7918583945766</v>
      </c>
      <c r="R18" s="28">
        <f t="shared" si="3"/>
        <v>-17.584775368008284</v>
      </c>
      <c r="S18" s="29">
        <f t="shared" si="4"/>
        <v>30.401398401740082</v>
      </c>
      <c r="T18" s="32">
        <f>100*(0.5*Q17*I18^2)</f>
        <v>44.510729187245062</v>
      </c>
      <c r="U18" s="32">
        <f t="shared" si="16"/>
        <v>-213.09900296100096</v>
      </c>
      <c r="V18" s="32">
        <f t="shared" si="17"/>
        <v>-4504.5939166603648</v>
      </c>
      <c r="W18" s="27">
        <f t="shared" si="12"/>
        <v>-4673.1821904341205</v>
      </c>
      <c r="X18" s="32">
        <f t="shared" si="13"/>
        <v>1070.6303636289358</v>
      </c>
      <c r="Z18" s="66"/>
    </row>
    <row r="19" spans="4:26" x14ac:dyDescent="0.45">
      <c r="D19" s="19">
        <f t="shared" ca="1" si="5"/>
        <v>159.610177647456</v>
      </c>
      <c r="E19" s="21">
        <f t="shared" ca="1" si="6"/>
        <v>0.3760624195421986</v>
      </c>
      <c r="F19">
        <v>16</v>
      </c>
      <c r="G19" s="19">
        <v>122.82838250931971</v>
      </c>
      <c r="H19" s="21">
        <v>0.74565177644686176</v>
      </c>
      <c r="I19" s="22">
        <f t="shared" si="7"/>
        <v>-1.3747606767430155E-2</v>
      </c>
      <c r="J19" s="19">
        <f t="shared" si="0"/>
        <v>3.2876712328767127E-2</v>
      </c>
      <c r="K19" s="23">
        <f t="shared" si="1"/>
        <v>3817.8273643736843</v>
      </c>
      <c r="L19" s="26">
        <f t="shared" si="2"/>
        <v>362.37510550977947</v>
      </c>
      <c r="M19" s="27">
        <f t="shared" si="14"/>
        <v>-295.67312471380694</v>
      </c>
      <c r="N19" s="30">
        <f t="shared" si="8"/>
        <v>113.41049340428224</v>
      </c>
      <c r="O19" s="31">
        <f t="shared" si="9"/>
        <v>3715.5704300234138</v>
      </c>
      <c r="P19" s="29">
        <f t="shared" si="10"/>
        <v>3828.9809234276959</v>
      </c>
      <c r="Q19" s="28">
        <f t="shared" si="11"/>
        <v>3406.4748533299035</v>
      </c>
      <c r="R19" s="28">
        <f t="shared" si="3"/>
        <v>-259.45045754742898</v>
      </c>
      <c r="S19" s="29">
        <f t="shared" si="4"/>
        <v>83.508296738860437</v>
      </c>
      <c r="T19" s="32">
        <f t="shared" si="15"/>
        <v>53.6352942381479</v>
      </c>
      <c r="U19" s="32">
        <f t="shared" si="16"/>
        <v>-17.584775368008284</v>
      </c>
      <c r="V19" s="32">
        <f t="shared" si="17"/>
        <v>1809.6815129044123</v>
      </c>
      <c r="W19" s="27">
        <f t="shared" si="12"/>
        <v>1845.7320317745518</v>
      </c>
      <c r="X19" s="32">
        <f t="shared" si="13"/>
        <v>1983.248891653144</v>
      </c>
      <c r="Z19" s="66"/>
    </row>
    <row r="20" spans="4:26" x14ac:dyDescent="0.45">
      <c r="D20" s="19">
        <f t="shared" ca="1" si="5"/>
        <v>155.89960101249878</v>
      </c>
      <c r="E20" s="21">
        <f t="shared" ca="1" si="6"/>
        <v>0.59082657983016296</v>
      </c>
      <c r="F20">
        <v>17</v>
      </c>
      <c r="G20" s="19">
        <v>123.69387867438256</v>
      </c>
      <c r="H20" s="21">
        <v>0.36268876798815697</v>
      </c>
      <c r="I20" s="22">
        <f t="shared" si="7"/>
        <v>7.0216759892969332E-3</v>
      </c>
      <c r="J20" s="19">
        <f t="shared" si="0"/>
        <v>3.0136986301369864E-2</v>
      </c>
      <c r="K20" s="23">
        <f t="shared" si="1"/>
        <v>976.93595750265422</v>
      </c>
      <c r="L20" s="26">
        <f t="shared" si="2"/>
        <v>224.14610713845431</v>
      </c>
      <c r="M20" s="27">
        <f t="shared" si="14"/>
        <v>138.22899837132516</v>
      </c>
      <c r="N20" s="30">
        <f t="shared" si="8"/>
        <v>-313.63426413296008</v>
      </c>
      <c r="O20" s="31">
        <f t="shared" si="9"/>
        <v>-2840.8914068710301</v>
      </c>
      <c r="P20" s="29">
        <f t="shared" si="10"/>
        <v>-3154.5256710039903</v>
      </c>
      <c r="Q20" s="28">
        <f t="shared" si="11"/>
        <v>5879.2501651720468</v>
      </c>
      <c r="R20" s="28">
        <f t="shared" si="3"/>
        <v>-105.94178655178938</v>
      </c>
      <c r="S20" s="29">
        <f t="shared" si="4"/>
        <v>64.26224106877973</v>
      </c>
      <c r="T20" s="32">
        <f t="shared" si="15"/>
        <v>8.3976305157380491</v>
      </c>
      <c r="U20" s="32">
        <f t="shared" si="16"/>
        <v>-259.45045754742898</v>
      </c>
      <c r="V20" s="32">
        <f t="shared" si="17"/>
        <v>-3198.0588550376242</v>
      </c>
      <c r="W20" s="27">
        <f t="shared" si="12"/>
        <v>-3449.1116820693151</v>
      </c>
      <c r="X20" s="32">
        <f t="shared" si="13"/>
        <v>294.58601106532478</v>
      </c>
      <c r="Z20" s="66"/>
    </row>
    <row r="21" spans="4:26" x14ac:dyDescent="0.45">
      <c r="D21" s="19">
        <f t="shared" ca="1" si="5"/>
        <v>147.22190690566333</v>
      </c>
      <c r="E21" s="21">
        <f t="shared" ca="1" si="6"/>
        <v>0.42006885457783905</v>
      </c>
      <c r="F21">
        <v>18</v>
      </c>
      <c r="G21" s="19">
        <v>124.16964057448881</v>
      </c>
      <c r="H21" s="21">
        <v>0.26773845625515685</v>
      </c>
      <c r="I21" s="22">
        <f t="shared" si="7"/>
        <v>3.8389068777146761E-3</v>
      </c>
      <c r="J21" s="19">
        <f t="shared" si="0"/>
        <v>2.7397260273972608E-2</v>
      </c>
      <c r="K21" s="23">
        <f t="shared" si="1"/>
        <v>438.2450620984315</v>
      </c>
      <c r="L21" s="26">
        <f t="shared" si="2"/>
        <v>155.46928806728454</v>
      </c>
      <c r="M21" s="27">
        <f t="shared" si="14"/>
        <v>68.676819071169774</v>
      </c>
      <c r="N21" s="30">
        <f t="shared" si="8"/>
        <v>-106.64017783360998</v>
      </c>
      <c r="O21" s="31">
        <f t="shared" si="9"/>
        <v>-538.69089540422272</v>
      </c>
      <c r="P21" s="29">
        <f t="shared" si="10"/>
        <v>-645.3310732378327</v>
      </c>
      <c r="Q21" s="28">
        <f t="shared" si="11"/>
        <v>6689.896298321748</v>
      </c>
      <c r="R21" s="28">
        <f t="shared" si="3"/>
        <v>-65.692839708158289</v>
      </c>
      <c r="S21" s="29">
        <f t="shared" si="4"/>
        <v>49.0723974635549</v>
      </c>
      <c r="T21" s="32">
        <f t="shared" si="15"/>
        <v>4.3321860451180552</v>
      </c>
      <c r="U21" s="32">
        <f t="shared" si="16"/>
        <v>-105.94178655178938</v>
      </c>
      <c r="V21" s="32">
        <f t="shared" si="17"/>
        <v>-610.1719822141838</v>
      </c>
      <c r="W21" s="27">
        <f t="shared" si="12"/>
        <v>-711.78158272085511</v>
      </c>
      <c r="X21" s="32">
        <f t="shared" si="13"/>
        <v>66.450509483022415</v>
      </c>
      <c r="Z21" s="66"/>
    </row>
    <row r="22" spans="4:26" x14ac:dyDescent="0.45">
      <c r="D22" s="19">
        <f t="shared" ca="1" si="5"/>
        <v>154.7837520799747</v>
      </c>
      <c r="E22" s="21">
        <f t="shared" ca="1" si="6"/>
        <v>0.30007419541726671</v>
      </c>
      <c r="F22">
        <v>19</v>
      </c>
      <c r="G22" s="19">
        <v>127.36553500967254</v>
      </c>
      <c r="H22" s="21">
        <v>0.59160222801254148</v>
      </c>
      <c r="I22" s="22">
        <f t="shared" si="7"/>
        <v>2.5412480912438837E-2</v>
      </c>
      <c r="J22" s="19">
        <f t="shared" si="0"/>
        <v>2.4657534246575345E-2</v>
      </c>
      <c r="K22" s="23">
        <f t="shared" si="1"/>
        <v>3565.3589477774831</v>
      </c>
      <c r="L22" s="26">
        <f t="shared" si="2"/>
        <v>430.9576965054186</v>
      </c>
      <c r="M22" s="27">
        <f t="shared" si="14"/>
        <v>-275.48840843813406</v>
      </c>
      <c r="N22" s="30">
        <f t="shared" si="8"/>
        <v>-496.86343257621121</v>
      </c>
      <c r="O22" s="31">
        <f t="shared" si="9"/>
        <v>3127.1138856790517</v>
      </c>
      <c r="P22" s="29">
        <f t="shared" si="10"/>
        <v>2630.2504531028403</v>
      </c>
      <c r="Q22" s="28">
        <f t="shared" si="11"/>
        <v>5387.5066214164699</v>
      </c>
      <c r="R22" s="28">
        <f t="shared" si="3"/>
        <v>-258.30009067412641</v>
      </c>
      <c r="S22" s="29">
        <f t="shared" si="4"/>
        <v>78.589995304002002</v>
      </c>
      <c r="T22" s="32">
        <f t="shared" si="15"/>
        <v>216.01480676179</v>
      </c>
      <c r="U22" s="32">
        <f t="shared" si="16"/>
        <v>-65.692839708158289</v>
      </c>
      <c r="V22" s="32">
        <f t="shared" si="17"/>
        <v>1589.2771731724404</v>
      </c>
      <c r="W22" s="27">
        <f t="shared" si="12"/>
        <v>1739.599140226072</v>
      </c>
      <c r="X22" s="32">
        <f t="shared" si="13"/>
        <v>890.65131287676832</v>
      </c>
      <c r="Z22" s="66"/>
    </row>
    <row r="23" spans="4:26" x14ac:dyDescent="0.45">
      <c r="D23" s="19">
        <f t="shared" ca="1" si="5"/>
        <v>148.26421710593834</v>
      </c>
      <c r="E23" s="21">
        <f t="shared" ca="1" si="6"/>
        <v>0.73966912011355712</v>
      </c>
      <c r="F23">
        <v>20</v>
      </c>
      <c r="G23" s="19">
        <v>128.14573152542368</v>
      </c>
      <c r="H23" s="21">
        <v>0.53164757502410331</v>
      </c>
      <c r="I23" s="22">
        <f t="shared" si="7"/>
        <v>6.1069631184198355E-3</v>
      </c>
      <c r="J23" s="19">
        <f t="shared" si="0"/>
        <v>2.1917808219178089E-2</v>
      </c>
      <c r="K23" s="23">
        <f t="shared" si="1"/>
        <v>3192.0060313334207</v>
      </c>
      <c r="L23" s="26">
        <f t="shared" si="2"/>
        <v>443.07762988809043</v>
      </c>
      <c r="M23" s="27">
        <f t="shared" si="14"/>
        <v>-12.119933382671832</v>
      </c>
      <c r="N23" s="30">
        <f t="shared" si="8"/>
        <v>-336.23169324966625</v>
      </c>
      <c r="O23" s="31">
        <f t="shared" si="9"/>
        <v>-373.35291644406243</v>
      </c>
      <c r="P23" s="29">
        <f t="shared" si="10"/>
        <v>-709.58460969372868</v>
      </c>
      <c r="Q23" s="28">
        <f t="shared" si="11"/>
        <v>6428.9604168096421</v>
      </c>
      <c r="R23" s="28">
        <f t="shared" si="3"/>
        <v>-248.92330942570277</v>
      </c>
      <c r="S23" s="29">
        <f t="shared" si="4"/>
        <v>74.913780066253068</v>
      </c>
      <c r="T23" s="32">
        <f t="shared" si="15"/>
        <v>10.04635257623462</v>
      </c>
      <c r="U23" s="32">
        <f t="shared" si="16"/>
        <v>-258.30009067412641</v>
      </c>
      <c r="V23" s="32">
        <f t="shared" si="17"/>
        <v>-471.18358968144247</v>
      </c>
      <c r="W23" s="27">
        <f t="shared" si="12"/>
        <v>-719.43732777933428</v>
      </c>
      <c r="X23" s="32">
        <f t="shared" si="13"/>
        <v>9.852718085605602</v>
      </c>
      <c r="Z23" s="66"/>
    </row>
    <row r="24" spans="4:26" x14ac:dyDescent="0.45">
      <c r="D24" s="19">
        <f t="shared" ca="1" si="5"/>
        <v>154.38490096187658</v>
      </c>
      <c r="E24" s="21">
        <f t="shared" ca="1" si="6"/>
        <v>0.4174650791473643</v>
      </c>
      <c r="F24">
        <v>21</v>
      </c>
      <c r="G24" s="19">
        <v>130.57504166884976</v>
      </c>
      <c r="H24" s="21">
        <v>0.74934607556300381</v>
      </c>
      <c r="I24" s="22">
        <f t="shared" si="7"/>
        <v>1.8779949609416556E-2</v>
      </c>
      <c r="J24" s="19">
        <f t="shared" si="0"/>
        <v>1.9178082191780826E-2</v>
      </c>
      <c r="K24" s="23">
        <f t="shared" si="1"/>
        <v>5683.8109953002631</v>
      </c>
      <c r="L24" s="26">
        <f t="shared" si="2"/>
        <v>537.6115295171378</v>
      </c>
      <c r="M24" s="27">
        <f t="shared" si="14"/>
        <v>-94.533899629047369</v>
      </c>
      <c r="N24" s="30">
        <f t="shared" si="8"/>
        <v>-1076.3729806123242</v>
      </c>
      <c r="O24" s="31">
        <f t="shared" si="9"/>
        <v>2491.8049639668425</v>
      </c>
      <c r="P24" s="29">
        <f t="shared" si="10"/>
        <v>1415.4319833545183</v>
      </c>
      <c r="Q24" s="28">
        <f t="shared" si="11"/>
        <v>4997.4607236539287</v>
      </c>
      <c r="R24" s="28">
        <f t="shared" si="3"/>
        <v>-384.40710294796639</v>
      </c>
      <c r="S24" s="29">
        <f t="shared" si="4"/>
        <v>71.818611143430829</v>
      </c>
      <c r="T24" s="32">
        <f t="shared" si="15"/>
        <v>113.37037975908592</v>
      </c>
      <c r="U24" s="32">
        <f t="shared" si="16"/>
        <v>-248.92330942570277</v>
      </c>
      <c r="V24" s="32">
        <f t="shared" si="17"/>
        <v>1630.8617590124265</v>
      </c>
      <c r="W24" s="27">
        <f t="shared" si="12"/>
        <v>1495.3088293458097</v>
      </c>
      <c r="X24" s="32">
        <f t="shared" si="13"/>
        <v>-79.876845991291475</v>
      </c>
      <c r="Z24" s="66"/>
    </row>
    <row r="25" spans="4:26" x14ac:dyDescent="0.45">
      <c r="D25" s="19">
        <f t="shared" ca="1" si="5"/>
        <v>151.12676543202352</v>
      </c>
      <c r="E25" s="21">
        <f t="shared" ca="1" si="6"/>
        <v>0.25379018110726542</v>
      </c>
      <c r="F25">
        <v>22</v>
      </c>
      <c r="G25" s="19">
        <v>130.55644513918341</v>
      </c>
      <c r="H25" s="21">
        <v>0.67703602823038089</v>
      </c>
      <c r="I25" s="22">
        <f t="shared" si="7"/>
        <v>-1.4243038957201842E-4</v>
      </c>
      <c r="J25" s="19">
        <f t="shared" si="0"/>
        <v>1.6438356164383564E-2</v>
      </c>
      <c r="K25" s="23">
        <f t="shared" si="1"/>
        <v>4793.7815665896151</v>
      </c>
      <c r="L25" s="26">
        <f t="shared" si="2"/>
        <v>536.89220186755529</v>
      </c>
      <c r="M25" s="27">
        <f t="shared" si="14"/>
        <v>0.71932764958251028</v>
      </c>
      <c r="N25" s="30">
        <f t="shared" si="8"/>
        <v>9.9977087576393728</v>
      </c>
      <c r="O25" s="31">
        <f t="shared" si="9"/>
        <v>-890.02942871064806</v>
      </c>
      <c r="P25" s="29">
        <f t="shared" si="10"/>
        <v>-880.03171995300863</v>
      </c>
      <c r="Q25" s="28">
        <f t="shared" si="11"/>
        <v>5974.5490736168767</v>
      </c>
      <c r="R25" s="28">
        <f t="shared" si="3"/>
        <v>-375.15076190516965</v>
      </c>
      <c r="S25" s="29">
        <f t="shared" si="4"/>
        <v>66.49290370305323</v>
      </c>
      <c r="T25" s="32">
        <f t="shared" si="15"/>
        <v>5.0690283276105088E-3</v>
      </c>
      <c r="U25" s="32">
        <f t="shared" si="16"/>
        <v>-384.40710294796639</v>
      </c>
      <c r="V25" s="32">
        <f t="shared" si="17"/>
        <v>-519.32071711447225</v>
      </c>
      <c r="W25" s="27">
        <f t="shared" si="12"/>
        <v>-903.72275103411107</v>
      </c>
      <c r="X25" s="32">
        <f t="shared" si="13"/>
        <v>23.691031081102437</v>
      </c>
      <c r="Z25" s="66"/>
    </row>
    <row r="26" spans="4:26" x14ac:dyDescent="0.45">
      <c r="D26" s="19">
        <f t="shared" ca="1" si="5"/>
        <v>145.48320573501789</v>
      </c>
      <c r="E26" s="21">
        <f t="shared" ca="1" si="6"/>
        <v>0.39575538797636589</v>
      </c>
      <c r="F26">
        <v>23</v>
      </c>
      <c r="G26" s="19">
        <v>127.93331259299691</v>
      </c>
      <c r="H26" s="21">
        <v>0.61419741318165466</v>
      </c>
      <c r="I26" s="22">
        <f t="shared" si="7"/>
        <v>-2.0296530263707219E-2</v>
      </c>
      <c r="J26" s="19">
        <f t="shared" si="0"/>
        <v>1.3698630136986301E-2</v>
      </c>
      <c r="K26" s="23">
        <f t="shared" si="1"/>
        <v>2755.893510916515</v>
      </c>
      <c r="L26" s="26">
        <f t="shared" si="2"/>
        <v>425.83718005093004</v>
      </c>
      <c r="M26" s="27">
        <f t="shared" si="14"/>
        <v>111.05502181662524</v>
      </c>
      <c r="N26" s="30">
        <f t="shared" si="8"/>
        <v>1408.3394085125151</v>
      </c>
      <c r="O26" s="31">
        <f t="shared" si="9"/>
        <v>-2037.8880556731001</v>
      </c>
      <c r="P26" s="29">
        <f t="shared" si="10"/>
        <v>-629.54864716058501</v>
      </c>
      <c r="Q26" s="28">
        <f t="shared" si="11"/>
        <v>6976.7820816987542</v>
      </c>
      <c r="R26" s="28">
        <f t="shared" si="3"/>
        <v>-360.53569105672796</v>
      </c>
      <c r="S26" s="29">
        <f t="shared" si="4"/>
        <v>58.70029461522595</v>
      </c>
      <c r="T26" s="32">
        <f t="shared" si="15"/>
        <v>123.06051786093957</v>
      </c>
      <c r="U26" s="32">
        <f t="shared" si="16"/>
        <v>-375.15076190516965</v>
      </c>
      <c r="V26" s="32">
        <f t="shared" si="17"/>
        <v>-417.83219792681854</v>
      </c>
      <c r="W26" s="27">
        <f t="shared" si="12"/>
        <v>-669.92244197104856</v>
      </c>
      <c r="X26" s="32">
        <f t="shared" si="13"/>
        <v>40.373794810463551</v>
      </c>
      <c r="Z26" s="66"/>
    </row>
    <row r="27" spans="4:26" x14ac:dyDescent="0.45">
      <c r="D27" s="19">
        <f t="shared" ca="1" si="5"/>
        <v>143.99916883294276</v>
      </c>
      <c r="E27" s="21">
        <f t="shared" ca="1" si="6"/>
        <v>0.49515556724872734</v>
      </c>
      <c r="F27">
        <v>24</v>
      </c>
      <c r="G27" s="19">
        <v>126.14340600529871</v>
      </c>
      <c r="H27" s="21">
        <v>0.21765043466462436</v>
      </c>
      <c r="I27" s="22">
        <f t="shared" si="7"/>
        <v>-1.4089730130097853E-2</v>
      </c>
      <c r="J27" s="19">
        <f t="shared" si="0"/>
        <v>1.0958904109589052E-2</v>
      </c>
      <c r="K27" s="23">
        <f t="shared" si="1"/>
        <v>126.81461894891655</v>
      </c>
      <c r="L27" s="26">
        <f t="shared" si="2"/>
        <v>95.041996926415408</v>
      </c>
      <c r="M27" s="27">
        <f t="shared" si="14"/>
        <v>330.79518312451466</v>
      </c>
      <c r="N27" s="30">
        <f t="shared" si="8"/>
        <v>762.20877385998335</v>
      </c>
      <c r="O27" s="31">
        <f t="shared" si="9"/>
        <v>-2629.0788919675983</v>
      </c>
      <c r="P27" s="29">
        <f t="shared" si="10"/>
        <v>-1866.8701181076149</v>
      </c>
      <c r="Q27" s="28">
        <f t="shared" si="11"/>
        <v>9360.4554804999316</v>
      </c>
      <c r="R27" s="28">
        <f t="shared" si="3"/>
        <v>-60.742575136126483</v>
      </c>
      <c r="S27" s="29">
        <f t="shared" si="4"/>
        <v>22.326654290297832</v>
      </c>
      <c r="T27" s="32">
        <f t="shared" si="15"/>
        <v>69.251711666782541</v>
      </c>
      <c r="U27" s="32">
        <f t="shared" si="16"/>
        <v>-360.53569105672796</v>
      </c>
      <c r="V27" s="32">
        <f t="shared" si="17"/>
        <v>-2327.7424467727355</v>
      </c>
      <c r="W27" s="27">
        <f t="shared" si="12"/>
        <v>-2619.0264261626808</v>
      </c>
      <c r="X27" s="32">
        <f t="shared" si="13"/>
        <v>752.15630805506589</v>
      </c>
      <c r="Z27" s="66"/>
    </row>
    <row r="28" spans="4:26" x14ac:dyDescent="0.45">
      <c r="D28" s="19">
        <f t="shared" ca="1" si="5"/>
        <v>145.31706109216216</v>
      </c>
      <c r="E28" s="21">
        <f t="shared" ca="1" si="6"/>
        <v>0.70009034267585324</v>
      </c>
      <c r="F28">
        <v>25</v>
      </c>
      <c r="G28" s="19">
        <v>125.41304314961658</v>
      </c>
      <c r="H28" s="21">
        <v>0.26461401725252054</v>
      </c>
      <c r="I28" s="22">
        <f t="shared" si="7"/>
        <v>-5.8067675097648605E-3</v>
      </c>
      <c r="J28" s="19">
        <f t="shared" si="0"/>
        <v>8.2191780821917887E-3</v>
      </c>
      <c r="K28" s="23">
        <f t="shared" si="1"/>
        <v>90.304869949711986</v>
      </c>
      <c r="L28" s="26">
        <f t="shared" si="2"/>
        <v>68.721283965934035</v>
      </c>
      <c r="M28" s="27">
        <f t="shared" si="14"/>
        <v>26.320712960481373</v>
      </c>
      <c r="N28" s="30">
        <f t="shared" si="8"/>
        <v>69.415144284909061</v>
      </c>
      <c r="O28" s="31">
        <f t="shared" si="9"/>
        <v>-36.509748999204561</v>
      </c>
      <c r="P28" s="29">
        <f t="shared" si="10"/>
        <v>32.9053952857045</v>
      </c>
      <c r="Q28" s="28">
        <f t="shared" si="11"/>
        <v>6920.2309002294451</v>
      </c>
      <c r="R28" s="28">
        <f t="shared" si="3"/>
        <v>-66.377886082610217</v>
      </c>
      <c r="S28" s="29">
        <f t="shared" si="4"/>
        <v>15.05087752458692</v>
      </c>
      <c r="T28" s="32">
        <f t="shared" si="15"/>
        <v>15.781048798107433</v>
      </c>
      <c r="U28" s="32">
        <f t="shared" si="16"/>
        <v>-60.742575136126483</v>
      </c>
      <c r="V28" s="32">
        <f t="shared" si="17"/>
        <v>104.85396726738088</v>
      </c>
      <c r="W28" s="27">
        <f t="shared" si="12"/>
        <v>59.892440929361833</v>
      </c>
      <c r="X28" s="32">
        <f t="shared" si="13"/>
        <v>-26.987045643657332</v>
      </c>
      <c r="Z28" s="66"/>
    </row>
    <row r="29" spans="4:26" x14ac:dyDescent="0.45">
      <c r="D29" s="19">
        <f t="shared" ca="1" si="5"/>
        <v>136.52636408520272</v>
      </c>
      <c r="E29" s="21">
        <f t="shared" ca="1" si="6"/>
        <v>0.43073760888079893</v>
      </c>
      <c r="F29">
        <v>26</v>
      </c>
      <c r="G29" s="19">
        <v>121.1063976241125</v>
      </c>
      <c r="H29" s="21">
        <v>0.51611275374993137</v>
      </c>
      <c r="I29" s="22">
        <f t="shared" si="7"/>
        <v>-3.4943156717669864E-2</v>
      </c>
      <c r="J29" s="19">
        <f t="shared" si="0"/>
        <v>5.4794520547945258E-3</v>
      </c>
      <c r="K29" s="23">
        <f t="shared" si="1"/>
        <v>59.521440175946069</v>
      </c>
      <c r="L29" s="26">
        <f t="shared" si="2"/>
        <v>33.194426647691628</v>
      </c>
      <c r="M29" s="27">
        <f t="shared" si="14"/>
        <v>35.526857318242406</v>
      </c>
      <c r="N29" s="30">
        <f t="shared" si="8"/>
        <v>295.95821009878512</v>
      </c>
      <c r="O29" s="31">
        <f t="shared" si="9"/>
        <v>-30.783429773765917</v>
      </c>
      <c r="P29" s="29">
        <f t="shared" si="10"/>
        <v>265.17478032501919</v>
      </c>
      <c r="Q29" s="28">
        <f t="shared" si="11"/>
        <v>2345.046069341744</v>
      </c>
      <c r="R29" s="28">
        <f t="shared" si="3"/>
        <v>-85.56924520518929</v>
      </c>
      <c r="S29" s="29">
        <f t="shared" si="4"/>
        <v>6.6318256685940868</v>
      </c>
      <c r="T29" s="32">
        <f t="shared" si="15"/>
        <v>422.48847042130319</v>
      </c>
      <c r="U29" s="32">
        <f t="shared" si="16"/>
        <v>-66.377886082610217</v>
      </c>
      <c r="V29" s="32">
        <f t="shared" si="17"/>
        <v>378.52766806108889</v>
      </c>
      <c r="W29" s="27">
        <f t="shared" si="12"/>
        <v>734.63825239978189</v>
      </c>
      <c r="X29" s="32">
        <f t="shared" si="13"/>
        <v>-469.46347207476271</v>
      </c>
      <c r="Z29" s="66"/>
    </row>
    <row r="30" spans="4:26" x14ac:dyDescent="0.45">
      <c r="D30" s="19">
        <f t="shared" ca="1" si="5"/>
        <v>128.89710261842305</v>
      </c>
      <c r="E30" s="21">
        <f t="shared" ca="1" si="6"/>
        <v>0.67176480812870398</v>
      </c>
      <c r="F30">
        <v>27</v>
      </c>
      <c r="G30" s="19">
        <v>126.08624059493701</v>
      </c>
      <c r="H30" s="21">
        <v>0.25338173384497614</v>
      </c>
      <c r="I30" s="22">
        <f t="shared" si="7"/>
        <v>4.029664355951159E-2</v>
      </c>
      <c r="J30" s="19">
        <f t="shared" si="0"/>
        <v>2.7397260273972629E-3</v>
      </c>
      <c r="K30" s="23">
        <f t="shared" si="1"/>
        <v>6.1294471376986959</v>
      </c>
      <c r="L30" s="26">
        <f t="shared" si="2"/>
        <v>10.774649405790393</v>
      </c>
      <c r="M30" s="27">
        <f>-(L30-L29)</f>
        <v>22.419777241901237</v>
      </c>
      <c r="N30" s="30">
        <f t="shared" si="8"/>
        <v>-165.30303221205685</v>
      </c>
      <c r="O30" s="31">
        <f t="shared" si="9"/>
        <v>-53.391993038247371</v>
      </c>
      <c r="P30" s="29">
        <f t="shared" si="10"/>
        <v>-218.69502525030421</v>
      </c>
      <c r="Q30" s="28">
        <f t="shared" si="11"/>
        <v>2704.0691167590467</v>
      </c>
      <c r="R30" s="28">
        <f t="shared" si="3"/>
        <v>-23.781844505790147</v>
      </c>
      <c r="S30" s="29">
        <f>$B$11*OptionVega(G30,$B$6,J30,$B$9,H30,$B$10)</f>
        <v>1.8771554006604407</v>
      </c>
      <c r="T30" s="32">
        <f t="shared" si="15"/>
        <v>190.39657469826554</v>
      </c>
      <c r="U30" s="32">
        <f t="shared" si="16"/>
        <v>-85.56924520518929</v>
      </c>
      <c r="V30" s="32">
        <f t="shared" si="17"/>
        <v>-174.2386321741586</v>
      </c>
      <c r="W30" s="27">
        <f t="shared" si="12"/>
        <v>-69.411302681082347</v>
      </c>
      <c r="X30" s="32">
        <f t="shared" si="13"/>
        <v>-149.28372256922188</v>
      </c>
      <c r="Z30" s="66"/>
    </row>
    <row r="31" spans="4:26" x14ac:dyDescent="0.45">
      <c r="D31" s="19">
        <f t="shared" ca="1" si="5"/>
        <v>139.50980464601002</v>
      </c>
      <c r="E31" s="21">
        <f t="shared" ca="1" si="6"/>
        <v>0.33781854799379202</v>
      </c>
      <c r="F31">
        <v>28</v>
      </c>
      <c r="G31" s="19">
        <v>129.18260815900442</v>
      </c>
      <c r="H31" s="21">
        <v>0.54874608288581772</v>
      </c>
      <c r="I31" s="22">
        <f t="shared" si="7"/>
        <v>2.426084852597115E-2</v>
      </c>
      <c r="J31" s="19">
        <f t="shared" si="0"/>
        <v>0</v>
      </c>
      <c r="K31" s="23">
        <f>MAX(0, G31-$B$6)*$B$11</f>
        <v>0</v>
      </c>
      <c r="L31" s="26"/>
      <c r="M31" s="27"/>
      <c r="N31" s="30">
        <f t="shared" si="8"/>
        <v>-33.362274934287534</v>
      </c>
      <c r="O31" s="31">
        <f t="shared" si="9"/>
        <v>-6.1294471376986959</v>
      </c>
      <c r="P31" s="29">
        <f t="shared" si="10"/>
        <v>-39.491722071986231</v>
      </c>
      <c r="Q31" s="28"/>
      <c r="R31" s="28"/>
      <c r="S31" s="29"/>
      <c r="T31" s="32">
        <f t="shared" si="15"/>
        <v>79.57923593366958</v>
      </c>
      <c r="U31" s="32">
        <f t="shared" si="16"/>
        <v>-23.781844505790147</v>
      </c>
      <c r="V31" s="32">
        <f>100*S30*(H31-H30)</f>
        <v>55.44447829645712</v>
      </c>
      <c r="W31" s="27">
        <f t="shared" si="12"/>
        <v>111.24186972433655</v>
      </c>
      <c r="X31" s="32">
        <f t="shared" si="13"/>
        <v>-150.7335917963228</v>
      </c>
      <c r="Z31" s="66"/>
    </row>
    <row r="32" spans="4:26" ht="20.65" x14ac:dyDescent="0.6">
      <c r="D32" s="37" t="s">
        <v>58</v>
      </c>
      <c r="E32" s="34"/>
      <c r="F32" s="34"/>
      <c r="G32" s="34"/>
      <c r="H32" s="34"/>
      <c r="I32" s="34"/>
      <c r="J32" s="34"/>
      <c r="K32" s="34"/>
      <c r="L32" s="34"/>
      <c r="M32" s="35"/>
      <c r="N32" s="36">
        <f>SUM(N3:N31)</f>
        <v>6503.45991629327</v>
      </c>
      <c r="O32" s="36">
        <f t="shared" ref="O32:P32" si="18">SUM(O3:O31)</f>
        <v>-7001.8818331056709</v>
      </c>
      <c r="P32" s="36">
        <f t="shared" si="18"/>
        <v>-498.42191681239967</v>
      </c>
      <c r="Q32" s="36">
        <f t="shared" ref="Q32" si="19">SUM(Q3:Q31)</f>
        <v>148429.12317383391</v>
      </c>
      <c r="R32" s="36">
        <f t="shared" ref="R32" si="20">SUM(R3:R31)</f>
        <v>-4255.7388808473033</v>
      </c>
      <c r="S32" s="36">
        <f t="shared" ref="S32" si="21">SUM(S3:S31)</f>
        <v>2313.6795493588806</v>
      </c>
      <c r="T32" s="36">
        <f t="shared" ref="T32" si="22">SUM(T3:T31)</f>
        <v>4662.8720023621026</v>
      </c>
      <c r="U32" s="36">
        <f t="shared" ref="U32" si="23">SUM(U3:U31)</f>
        <v>-4255.7388808473033</v>
      </c>
      <c r="V32" s="36">
        <f t="shared" ref="V32" si="24">SUM(V3:V31)</f>
        <v>-8837.031789475137</v>
      </c>
      <c r="W32" s="36">
        <f t="shared" ref="W32:X32" si="25">SUM(W3:W31)</f>
        <v>-8429.8986679603386</v>
      </c>
      <c r="X32" s="36">
        <f t="shared" si="25"/>
        <v>7931.4767511479386</v>
      </c>
      <c r="Z32" s="66"/>
    </row>
    <row r="34" spans="4:17" s="18" customFormat="1" x14ac:dyDescent="0.45"/>
    <row r="35" spans="4:17" x14ac:dyDescent="0.45">
      <c r="D35" t="s">
        <v>6</v>
      </c>
    </row>
    <row r="36" spans="4:17" x14ac:dyDescent="0.45">
      <c r="D36" t="s">
        <v>99</v>
      </c>
    </row>
    <row r="37" spans="4:17" x14ac:dyDescent="0.45">
      <c r="D37" t="s">
        <v>126</v>
      </c>
    </row>
    <row r="38" spans="4:17" x14ac:dyDescent="0.45">
      <c r="D38" t="s">
        <v>127</v>
      </c>
    </row>
    <row r="39" spans="4:17" x14ac:dyDescent="0.45">
      <c r="D39" t="s">
        <v>75</v>
      </c>
      <c r="Q39" s="22"/>
    </row>
    <row r="40" spans="4:17" x14ac:dyDescent="0.45">
      <c r="D40" t="s">
        <v>76</v>
      </c>
      <c r="Q40" s="53"/>
    </row>
    <row r="41" spans="4:17" x14ac:dyDescent="0.45">
      <c r="D41" t="s">
        <v>117</v>
      </c>
    </row>
    <row r="42" spans="4:17" x14ac:dyDescent="0.45">
      <c r="D42" t="s">
        <v>128</v>
      </c>
    </row>
    <row r="43" spans="4:17" x14ac:dyDescent="0.45">
      <c r="D43" t="s">
        <v>129</v>
      </c>
    </row>
    <row r="44" spans="4:17" x14ac:dyDescent="0.45">
      <c r="D44" t="s">
        <v>86</v>
      </c>
    </row>
    <row r="45" spans="4:17" x14ac:dyDescent="0.45">
      <c r="D45" t="s">
        <v>87</v>
      </c>
    </row>
    <row r="46" spans="4:17" x14ac:dyDescent="0.45">
      <c r="D46" t="s">
        <v>118</v>
      </c>
    </row>
    <row r="47" spans="4:17" x14ac:dyDescent="0.45">
      <c r="D47" t="s">
        <v>93</v>
      </c>
    </row>
    <row r="48" spans="4:17" x14ac:dyDescent="0.45">
      <c r="D48" t="s">
        <v>95</v>
      </c>
    </row>
    <row r="49" spans="4:14" x14ac:dyDescent="0.45">
      <c r="D49" t="s">
        <v>119</v>
      </c>
    </row>
    <row r="50" spans="4:14" x14ac:dyDescent="0.45">
      <c r="D50" t="s">
        <v>121</v>
      </c>
      <c r="N50" s="52"/>
    </row>
    <row r="51" spans="4:14" x14ac:dyDescent="0.45">
      <c r="N51" s="52"/>
    </row>
    <row r="52" spans="4:14" x14ac:dyDescent="0.45">
      <c r="D52" t="s">
        <v>9</v>
      </c>
    </row>
    <row r="53" spans="4:14" x14ac:dyDescent="0.45">
      <c r="D53" t="s">
        <v>46</v>
      </c>
      <c r="E53" t="s">
        <v>47</v>
      </c>
    </row>
    <row r="54" spans="4:14" x14ac:dyDescent="0.45">
      <c r="D54" t="s">
        <v>88</v>
      </c>
      <c r="E54" t="s">
        <v>89</v>
      </c>
    </row>
  </sheetData>
  <mergeCells count="5">
    <mergeCell ref="D1:E1"/>
    <mergeCell ref="F1:H1"/>
    <mergeCell ref="N1:P1"/>
    <mergeCell ref="Q1:S1"/>
    <mergeCell ref="T1:W1"/>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_xludf.Copy">
                <anchor moveWithCells="1" sizeWithCells="1">
                  <from>
                    <xdr:col>0</xdr:col>
                    <xdr:colOff>100013</xdr:colOff>
                    <xdr:row>18</xdr:row>
                    <xdr:rowOff>157163</xdr:rowOff>
                  </from>
                  <to>
                    <xdr:col>1</xdr:col>
                    <xdr:colOff>200025</xdr:colOff>
                    <xdr:row>20</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53B54-C02A-4423-AA49-4FE624D2D2E6}">
  <sheetPr codeName="Sheet3"/>
  <dimension ref="B1:H36"/>
  <sheetViews>
    <sheetView workbookViewId="0">
      <selection activeCell="G14" sqref="G14"/>
    </sheetView>
  </sheetViews>
  <sheetFormatPr defaultRowHeight="15" x14ac:dyDescent="0.45"/>
  <cols>
    <col min="3" max="3" width="25.0703125" bestFit="1" customWidth="1"/>
    <col min="4" max="4" width="12.5703125" bestFit="1" customWidth="1"/>
  </cols>
  <sheetData>
    <row r="1" spans="2:8" x14ac:dyDescent="0.45">
      <c r="B1" s="39" t="s">
        <v>52</v>
      </c>
      <c r="C1" t="s">
        <v>78</v>
      </c>
      <c r="D1" t="s">
        <v>79</v>
      </c>
      <c r="H1" t="s">
        <v>85</v>
      </c>
    </row>
    <row r="2" spans="2:8" x14ac:dyDescent="0.45">
      <c r="B2" s="19">
        <v>130</v>
      </c>
    </row>
    <row r="3" spans="2:8" x14ac:dyDescent="0.45">
      <c r="B3" s="19">
        <v>129.09977565258924</v>
      </c>
      <c r="C3" s="22">
        <f>LN(B3/B2)</f>
        <v>-6.9488903845944068E-3</v>
      </c>
      <c r="D3" s="22">
        <f>C3^2</f>
        <v>4.8287077577108603E-5</v>
      </c>
    </row>
    <row r="4" spans="2:8" x14ac:dyDescent="0.45">
      <c r="B4" s="19">
        <v>131.26395690415259</v>
      </c>
      <c r="C4" s="22">
        <f t="shared" ref="C4:C30" si="0">LN(B4/B3)</f>
        <v>1.6624674064580156E-2</v>
      </c>
      <c r="D4" s="22">
        <f t="shared" ref="D4:D30" si="1">C4^2</f>
        <v>2.7637978775352408E-4</v>
      </c>
    </row>
    <row r="5" spans="2:8" x14ac:dyDescent="0.45">
      <c r="B5" s="19">
        <v>134.63427927235341</v>
      </c>
      <c r="C5" s="22">
        <f t="shared" si="0"/>
        <v>2.5351825779779402E-2</v>
      </c>
      <c r="D5" s="22">
        <f t="shared" si="1"/>
        <v>6.4271507036828745E-4</v>
      </c>
    </row>
    <row r="6" spans="2:8" x14ac:dyDescent="0.45">
      <c r="B6" s="19">
        <v>138.85632575527563</v>
      </c>
      <c r="C6" s="22">
        <f t="shared" si="0"/>
        <v>3.0877710993996898E-2</v>
      </c>
      <c r="D6" s="22">
        <f t="shared" si="1"/>
        <v>9.5343303622879693E-4</v>
      </c>
    </row>
    <row r="7" spans="2:8" x14ac:dyDescent="0.45">
      <c r="B7" s="19">
        <v>136.99120751193033</v>
      </c>
      <c r="C7" s="22">
        <f t="shared" si="0"/>
        <v>-1.3523025885797506E-2</v>
      </c>
      <c r="D7" s="22">
        <f t="shared" si="1"/>
        <v>1.8287222910794943E-4</v>
      </c>
    </row>
    <row r="8" spans="2:8" x14ac:dyDescent="0.45">
      <c r="B8" s="19">
        <v>137.97967654208321</v>
      </c>
      <c r="C8" s="22">
        <f t="shared" si="0"/>
        <v>7.1896578539754948E-3</v>
      </c>
      <c r="D8" s="22">
        <f t="shared" si="1"/>
        <v>5.1691180057231518E-5</v>
      </c>
    </row>
    <row r="9" spans="2:8" x14ac:dyDescent="0.45">
      <c r="B9" s="19">
        <v>138.65503719666575</v>
      </c>
      <c r="C9" s="22">
        <f t="shared" si="0"/>
        <v>4.8826988284513678E-3</v>
      </c>
      <c r="D9" s="22">
        <f t="shared" si="1"/>
        <v>2.3840747849360359E-5</v>
      </c>
    </row>
    <row r="10" spans="2:8" x14ac:dyDescent="0.45">
      <c r="B10" s="19">
        <v>138.9814669520951</v>
      </c>
      <c r="C10" s="22">
        <f t="shared" si="0"/>
        <v>2.3514912554211671E-3</v>
      </c>
      <c r="D10" s="22">
        <f t="shared" si="1"/>
        <v>5.5295111243222167E-6</v>
      </c>
    </row>
    <row r="11" spans="2:8" x14ac:dyDescent="0.45">
      <c r="B11" s="19">
        <v>132.2186246336783</v>
      </c>
      <c r="C11" s="22">
        <f t="shared" si="0"/>
        <v>-4.9883793215054727E-2</v>
      </c>
      <c r="D11" s="22">
        <f t="shared" si="1"/>
        <v>2.48839282552234E-3</v>
      </c>
    </row>
    <row r="12" spans="2:8" x14ac:dyDescent="0.45">
      <c r="B12" s="19">
        <v>131.35486686929281</v>
      </c>
      <c r="C12" s="22">
        <f t="shared" si="0"/>
        <v>-6.5542316229394819E-3</v>
      </c>
      <c r="D12" s="22">
        <f t="shared" si="1"/>
        <v>4.2957952167139915E-5</v>
      </c>
    </row>
    <row r="13" spans="2:8" x14ac:dyDescent="0.45">
      <c r="B13" s="19">
        <v>132.73204943503799</v>
      </c>
      <c r="C13" s="22">
        <f t="shared" si="0"/>
        <v>1.0429862027147841E-2</v>
      </c>
      <c r="D13" s="22">
        <f t="shared" si="1"/>
        <v>1.0878202190534047E-4</v>
      </c>
    </row>
    <row r="14" spans="2:8" x14ac:dyDescent="0.45">
      <c r="B14" s="19">
        <v>132.65693470025303</v>
      </c>
      <c r="C14" s="22">
        <f t="shared" si="0"/>
        <v>-5.6607275569862112E-4</v>
      </c>
      <c r="D14" s="22">
        <f t="shared" si="1"/>
        <v>3.2043836474423081E-7</v>
      </c>
    </row>
    <row r="15" spans="2:8" x14ac:dyDescent="0.45">
      <c r="B15" s="19">
        <v>129.41626091965341</v>
      </c>
      <c r="C15" s="22">
        <f t="shared" si="0"/>
        <v>-2.4732319238150269E-2</v>
      </c>
      <c r="D15" s="22">
        <f t="shared" si="1"/>
        <v>6.1168761489777796E-4</v>
      </c>
    </row>
    <row r="16" spans="2:8" x14ac:dyDescent="0.45">
      <c r="B16" s="19">
        <v>126.58129380046783</v>
      </c>
      <c r="C16" s="22">
        <f t="shared" si="0"/>
        <v>-2.2149297654099113E-2</v>
      </c>
      <c r="D16" s="22">
        <f t="shared" si="1"/>
        <v>4.9059138656988046E-4</v>
      </c>
    </row>
    <row r="17" spans="2:4" x14ac:dyDescent="0.45">
      <c r="B17" s="19">
        <v>134.35330515657205</v>
      </c>
      <c r="C17" s="22">
        <f t="shared" si="0"/>
        <v>5.9588195347269307E-2</v>
      </c>
      <c r="D17" s="22">
        <f t="shared" si="1"/>
        <v>3.5507530247443275E-3</v>
      </c>
    </row>
    <row r="18" spans="2:4" x14ac:dyDescent="0.45">
      <c r="B18" s="19">
        <v>139.09056950372266</v>
      </c>
      <c r="C18" s="22">
        <f t="shared" si="0"/>
        <v>3.4652364258756389E-2</v>
      </c>
      <c r="D18" s="22">
        <f t="shared" si="1"/>
        <v>1.2007863487215372E-3</v>
      </c>
    </row>
    <row r="19" spans="2:4" x14ac:dyDescent="0.45">
      <c r="B19" s="19">
        <v>144.84731092454933</v>
      </c>
      <c r="C19" s="22">
        <f t="shared" si="0"/>
        <v>4.0554859381764334E-2</v>
      </c>
      <c r="D19" s="22">
        <f t="shared" si="1"/>
        <v>1.6446966194746785E-3</v>
      </c>
    </row>
    <row r="20" spans="2:4" x14ac:dyDescent="0.45">
      <c r="B20" s="19">
        <v>148.63012500170615</v>
      </c>
      <c r="C20" s="22">
        <f t="shared" si="0"/>
        <v>2.5780677696138454E-2</v>
      </c>
      <c r="D20" s="22">
        <f t="shared" si="1"/>
        <v>6.6464334247217077E-4</v>
      </c>
    </row>
    <row r="21" spans="2:4" x14ac:dyDescent="0.45">
      <c r="B21" s="19">
        <v>141.68408681915898</v>
      </c>
      <c r="C21" s="22">
        <f t="shared" si="0"/>
        <v>-4.7860998707595338E-2</v>
      </c>
      <c r="D21" s="22">
        <f t="shared" si="1"/>
        <v>2.2906751972884428E-3</v>
      </c>
    </row>
    <row r="22" spans="2:4" x14ac:dyDescent="0.45">
      <c r="B22" s="19">
        <v>137.27335612503563</v>
      </c>
      <c r="C22" s="22">
        <f t="shared" si="0"/>
        <v>-3.1625600435521199E-2</v>
      </c>
      <c r="D22" s="22">
        <f t="shared" si="1"/>
        <v>1.0001786029072387E-3</v>
      </c>
    </row>
    <row r="23" spans="2:4" x14ac:dyDescent="0.45">
      <c r="B23" s="19">
        <v>142.67209952119416</v>
      </c>
      <c r="C23" s="22">
        <f t="shared" si="0"/>
        <v>3.8574748901254924E-2</v>
      </c>
      <c r="D23" s="22">
        <f t="shared" si="1"/>
        <v>1.488011252794868E-3</v>
      </c>
    </row>
    <row r="24" spans="2:4" x14ac:dyDescent="0.45">
      <c r="B24" s="19">
        <v>136.93044925156246</v>
      </c>
      <c r="C24" s="22">
        <f t="shared" si="0"/>
        <v>-4.1075859721057435E-2</v>
      </c>
      <c r="D24" s="22">
        <f t="shared" si="1"/>
        <v>1.6872262518239885E-3</v>
      </c>
    </row>
    <row r="25" spans="2:4" x14ac:dyDescent="0.45">
      <c r="B25" s="19">
        <v>139.29999210080601</v>
      </c>
      <c r="C25" s="22">
        <f t="shared" si="0"/>
        <v>1.7156696855802615E-2</v>
      </c>
      <c r="D25" s="22">
        <f t="shared" si="1"/>
        <v>2.9435224700190732E-4</v>
      </c>
    </row>
    <row r="26" spans="2:4" x14ac:dyDescent="0.45">
      <c r="B26" s="19">
        <v>134.87753643753587</v>
      </c>
      <c r="C26" s="22">
        <f t="shared" si="0"/>
        <v>-3.2262594838935774E-2</v>
      </c>
      <c r="D26" s="22">
        <f t="shared" si="1"/>
        <v>1.0408750257413252E-3</v>
      </c>
    </row>
    <row r="27" spans="2:4" x14ac:dyDescent="0.45">
      <c r="B27" s="19">
        <v>136.55276940745128</v>
      </c>
      <c r="C27" s="22">
        <f t="shared" si="0"/>
        <v>1.2343899743815324E-2</v>
      </c>
      <c r="D27" s="22">
        <f t="shared" si="1"/>
        <v>1.5237186088536402E-4</v>
      </c>
    </row>
    <row r="28" spans="2:4" x14ac:dyDescent="0.45">
      <c r="B28" s="19">
        <v>129.66000409589967</v>
      </c>
      <c r="C28" s="22">
        <f t="shared" si="0"/>
        <v>-5.1795457647903435E-2</v>
      </c>
      <c r="D28" s="22">
        <f t="shared" si="1"/>
        <v>2.6827694329557583E-3</v>
      </c>
    </row>
    <row r="29" spans="2:4" x14ac:dyDescent="0.45">
      <c r="B29" s="19">
        <v>124.19596142109141</v>
      </c>
      <c r="C29" s="22">
        <f t="shared" si="0"/>
        <v>-4.3055019104085102E-2</v>
      </c>
      <c r="D29" s="22">
        <f t="shared" si="1"/>
        <v>1.8537346700531331E-3</v>
      </c>
    </row>
    <row r="30" spans="2:4" x14ac:dyDescent="0.45">
      <c r="B30" s="19">
        <v>121.87691017240799</v>
      </c>
      <c r="C30" s="22">
        <f t="shared" si="0"/>
        <v>-1.8849049827614085E-2</v>
      </c>
      <c r="D30" s="22">
        <f t="shared" si="1"/>
        <v>3.5528667940387855E-4</v>
      </c>
    </row>
    <row r="32" spans="2:4" x14ac:dyDescent="0.45">
      <c r="C32" t="s">
        <v>80</v>
      </c>
      <c r="D32" s="12">
        <f>SUM(D3:D30)</f>
        <v>2.5833841435762426E-2</v>
      </c>
    </row>
    <row r="33" spans="3:4" x14ac:dyDescent="0.45">
      <c r="C33" t="s">
        <v>81</v>
      </c>
      <c r="D33" s="52">
        <f>SQRT(D32)</f>
        <v>0.16072909330846866</v>
      </c>
    </row>
    <row r="34" spans="3:4" x14ac:dyDescent="0.45">
      <c r="C34" t="s">
        <v>82</v>
      </c>
      <c r="D34">
        <v>365</v>
      </c>
    </row>
    <row r="35" spans="3:4" x14ac:dyDescent="0.45">
      <c r="C35" t="s">
        <v>83</v>
      </c>
      <c r="D35" s="52">
        <f>D32*D34/28</f>
        <v>0.3367625758590459</v>
      </c>
    </row>
    <row r="36" spans="3:4" x14ac:dyDescent="0.45">
      <c r="C36" t="s">
        <v>84</v>
      </c>
      <c r="D36" s="52">
        <f>SQRT(D35)</f>
        <v>0.58031248121942536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DD772-2171-4B16-B2E8-C1E006FF9043}">
  <sheetPr codeName="Sheet4"/>
  <dimension ref="A1:Y85"/>
  <sheetViews>
    <sheetView zoomScale="90" zoomScaleNormal="90" workbookViewId="0">
      <selection activeCell="W4" sqref="W4"/>
    </sheetView>
  </sheetViews>
  <sheetFormatPr defaultRowHeight="15" x14ac:dyDescent="0.45"/>
  <cols>
    <col min="1" max="1" width="32.140625" customWidth="1"/>
    <col min="2" max="2" width="8.92578125" bestFit="1" customWidth="1"/>
    <col min="3" max="3" width="9.140625" style="18"/>
    <col min="4" max="4" width="9.140625" style="54"/>
    <col min="5" max="5" width="5.85546875" bestFit="1" customWidth="1"/>
    <col min="6" max="6" width="6.640625" bestFit="1" customWidth="1"/>
    <col min="7" max="7" width="8.28515625" bestFit="1" customWidth="1"/>
    <col min="8" max="8" width="12.92578125" bestFit="1" customWidth="1"/>
    <col min="9" max="9" width="4.640625" bestFit="1" customWidth="1"/>
    <col min="10" max="10" width="13.35546875" bestFit="1" customWidth="1"/>
    <col min="11" max="12" width="12.92578125" bestFit="1" customWidth="1"/>
    <col min="13" max="13" width="16.5" bestFit="1" customWidth="1"/>
    <col min="14" max="14" width="11.35546875" bestFit="1" customWidth="1"/>
    <col min="15" max="16" width="9.78515625" bestFit="1" customWidth="1"/>
    <col min="17" max="18" width="9.5" bestFit="1" customWidth="1"/>
    <col min="19" max="19" width="11.2109375" bestFit="1" customWidth="1"/>
    <col min="20" max="21" width="9.5" bestFit="1" customWidth="1"/>
    <col min="22" max="22" width="11.2109375" bestFit="1" customWidth="1"/>
    <col min="23" max="23" width="19.140625" bestFit="1" customWidth="1"/>
  </cols>
  <sheetData>
    <row r="1" spans="1:25" x14ac:dyDescent="0.45">
      <c r="A1" s="13" t="s">
        <v>32</v>
      </c>
      <c r="D1" s="71" t="s">
        <v>51</v>
      </c>
      <c r="E1" s="71"/>
      <c r="F1" s="71"/>
      <c r="G1" s="80"/>
      <c r="H1" s="49"/>
      <c r="I1" s="49"/>
      <c r="J1" s="49"/>
      <c r="K1" s="50"/>
      <c r="L1" s="51"/>
      <c r="M1" s="73" t="s">
        <v>63</v>
      </c>
      <c r="N1" s="71"/>
      <c r="O1" s="72"/>
      <c r="P1" s="74" t="s">
        <v>64</v>
      </c>
      <c r="Q1" s="75"/>
      <c r="R1" s="76"/>
      <c r="S1" s="77" t="s">
        <v>73</v>
      </c>
      <c r="T1" s="78"/>
      <c r="U1" s="78"/>
      <c r="V1" s="79"/>
      <c r="W1" s="38" t="s">
        <v>69</v>
      </c>
      <c r="Y1" t="s">
        <v>120</v>
      </c>
    </row>
    <row r="2" spans="1:25" x14ac:dyDescent="0.45">
      <c r="D2" s="54" t="s">
        <v>92</v>
      </c>
      <c r="E2" s="39" t="s">
        <v>54</v>
      </c>
      <c r="F2" s="39" t="s">
        <v>52</v>
      </c>
      <c r="G2" s="57" t="s">
        <v>53</v>
      </c>
      <c r="H2" s="41" t="s">
        <v>55</v>
      </c>
      <c r="I2" s="41" t="s">
        <v>77</v>
      </c>
      <c r="J2" s="41" t="s">
        <v>56</v>
      </c>
      <c r="K2" s="41" t="s">
        <v>57</v>
      </c>
      <c r="L2" s="42" t="s">
        <v>59</v>
      </c>
      <c r="M2" s="41" t="s">
        <v>60</v>
      </c>
      <c r="N2" s="41" t="s">
        <v>61</v>
      </c>
      <c r="O2" s="42" t="s">
        <v>62</v>
      </c>
      <c r="P2" s="41" t="s">
        <v>65</v>
      </c>
      <c r="Q2" s="41" t="s">
        <v>66</v>
      </c>
      <c r="R2" s="42" t="s">
        <v>67</v>
      </c>
      <c r="S2" s="41" t="s">
        <v>20</v>
      </c>
      <c r="T2" s="41" t="s">
        <v>68</v>
      </c>
      <c r="U2" s="41" t="s">
        <v>22</v>
      </c>
      <c r="V2" s="42" t="s">
        <v>58</v>
      </c>
      <c r="W2" s="39"/>
      <c r="Y2" s="52">
        <f>_xlfn.STDEV.S(H4:H31)*SQRT(252)</f>
        <v>0.2155357513616335</v>
      </c>
    </row>
    <row r="3" spans="1:25" x14ac:dyDescent="0.45">
      <c r="A3" s="1" t="s">
        <v>39</v>
      </c>
      <c r="B3" s="2"/>
      <c r="D3" s="55">
        <v>44729</v>
      </c>
      <c r="E3">
        <v>0</v>
      </c>
      <c r="F3" s="56">
        <v>131.56</v>
      </c>
      <c r="G3" s="58">
        <v>0.37330000000000002</v>
      </c>
      <c r="I3" s="19">
        <f>$B$7-E3/365</f>
        <v>7.6712328767123292E-2</v>
      </c>
      <c r="J3" s="23">
        <f>$B$11*optionPrice($B$4,F3,$B$6,I3,$B$9,G3,$B$10)</f>
        <v>6207.7965110821933</v>
      </c>
      <c r="K3" s="26">
        <f>$B$11*OptionDelta($B$4,F3,$B$6,I3,$B$9,G3,$B$10)</f>
        <v>566.34162851256781</v>
      </c>
      <c r="L3" s="27">
        <f>-K3</f>
        <v>-566.34162851256781</v>
      </c>
      <c r="M3" s="28"/>
      <c r="N3" s="28"/>
      <c r="O3" s="29"/>
      <c r="P3" s="28">
        <f>($B$11*OptionGamma(F3,$B$6,I3,$B$9,G3,$B$10))*F3^2*1%</f>
        <v>5005.9029232617113</v>
      </c>
      <c r="Q3" s="28">
        <f>$B$11*OptionTheta($B$4,F3,$B$6,I3,$B$9,G3,$B$10)</f>
        <v>-95.559868413146276</v>
      </c>
      <c r="R3" s="29">
        <f>$B$11*OptionVega(F3,$B$6,I3,$B$9,G3,$B$10)</f>
        <v>143.35260195918005</v>
      </c>
      <c r="V3" s="20"/>
    </row>
    <row r="4" spans="1:25" x14ac:dyDescent="0.45">
      <c r="A4" s="2" t="s">
        <v>40</v>
      </c>
      <c r="B4" s="1" t="s">
        <v>49</v>
      </c>
      <c r="D4" s="55">
        <v>44730</v>
      </c>
      <c r="E4">
        <v>1</v>
      </c>
      <c r="F4" s="56">
        <v>131.56</v>
      </c>
      <c r="G4" s="58">
        <v>0.37330000000000002</v>
      </c>
      <c r="H4" s="22">
        <f>LN(F4/F3)</f>
        <v>0</v>
      </c>
      <c r="I4" s="19">
        <f t="shared" ref="I4:I15" si="0">$B$7-E4/365</f>
        <v>7.3972602739726029E-2</v>
      </c>
      <c r="J4" s="23">
        <f t="shared" ref="J4:J15" si="1">$B$11*optionPrice($B$4,F4,$B$6,I4,$B$9,G4,$B$10)</f>
        <v>6111.3773126007236</v>
      </c>
      <c r="K4" s="26">
        <f t="shared" ref="K4:K15" si="2">$B$11*OptionDelta($B$4,F4,$B$6,I4,$B$9,G4,$B$10)</f>
        <v>566.80798868836189</v>
      </c>
      <c r="L4" s="27">
        <f>-(K4-K3)</f>
        <v>-0.46636017579407962</v>
      </c>
      <c r="M4" s="30">
        <f>-K3*(F4-F3)</f>
        <v>0</v>
      </c>
      <c r="N4" s="31">
        <f>J4-J3</f>
        <v>-96.419198481469721</v>
      </c>
      <c r="O4" s="29">
        <f>M4+N4</f>
        <v>-96.419198481469721</v>
      </c>
      <c r="P4" s="28">
        <f>($B$11*OptionGamma(F4,$B$6,I4,$B$9,G4,$B$10))*F4^2*1%</f>
        <v>5096.7488442661233</v>
      </c>
      <c r="Q4" s="28">
        <f t="shared" ref="Q4:Q15" si="3">$B$11*OptionTheta($B$4,F4,$B$6,I4,$B$9,G4,$B$10)</f>
        <v>-97.294065897622517</v>
      </c>
      <c r="R4" s="29">
        <f>$B$11*OptionVega(F4,$B$6,I4,$B$9,G4,$B$10)</f>
        <v>140.7414829486101</v>
      </c>
      <c r="S4" s="32">
        <f>100*(0.5*P3*H4^2)</f>
        <v>0</v>
      </c>
      <c r="T4" s="32">
        <f>Q3</f>
        <v>-95.559868413146276</v>
      </c>
      <c r="U4" s="32">
        <f>100*R3*(G4-G3)</f>
        <v>0</v>
      </c>
      <c r="V4" s="27">
        <f>SUM(S4:U4)</f>
        <v>-95.559868413146276</v>
      </c>
      <c r="W4" s="32">
        <f>O4-V4</f>
        <v>-0.85933006832344461</v>
      </c>
    </row>
    <row r="5" spans="1:25" x14ac:dyDescent="0.45">
      <c r="A5" s="2" t="s">
        <v>33</v>
      </c>
      <c r="B5" s="2">
        <v>130</v>
      </c>
      <c r="D5" s="55">
        <v>44731</v>
      </c>
      <c r="E5">
        <v>2</v>
      </c>
      <c r="F5" s="56">
        <v>131.56</v>
      </c>
      <c r="G5" s="58">
        <v>0.37330000000000002</v>
      </c>
      <c r="H5" s="22">
        <f t="shared" ref="H5:H31" si="4">LN(F5/F4)</f>
        <v>0</v>
      </c>
      <c r="I5" s="19">
        <f t="shared" si="0"/>
        <v>7.1232876712328766E-2</v>
      </c>
      <c r="J5" s="23">
        <f t="shared" si="1"/>
        <v>6013.1758571259297</v>
      </c>
      <c r="K5" s="26">
        <f t="shared" si="2"/>
        <v>567.31498794205061</v>
      </c>
      <c r="L5" s="27">
        <f>-(K5-K4)</f>
        <v>-0.50699925368871845</v>
      </c>
      <c r="M5" s="30">
        <f t="shared" ref="M5:M13" si="5">-K4*(F5-F4)</f>
        <v>0</v>
      </c>
      <c r="N5" s="31">
        <f t="shared" ref="N5:N15" si="6">J5-J4</f>
        <v>-98.201455474793875</v>
      </c>
      <c r="O5" s="29">
        <f t="shared" ref="O5:O15" si="7">M5+N5</f>
        <v>-98.201455474793875</v>
      </c>
      <c r="P5" s="28">
        <f t="shared" ref="P5:P15" si="8">($B$11*OptionGamma(F5,$B$6,I5,$B$9,G5,$B$10))*F5^2*1%</f>
        <v>5192.7077736434248</v>
      </c>
      <c r="Q5" s="28">
        <f t="shared" si="3"/>
        <v>-99.125867833243461</v>
      </c>
      <c r="R5" s="29">
        <f t="shared" ref="R5:R14" si="9">$B$11*OptionVega(F5,$B$6,I5,$B$9,G5,$B$10)</f>
        <v>138.08050166966677</v>
      </c>
      <c r="S5" s="32">
        <f>100*(0.5*P4*H5^2)</f>
        <v>0</v>
      </c>
      <c r="T5" s="32">
        <f>Q4</f>
        <v>-97.294065897622517</v>
      </c>
      <c r="U5" s="32">
        <f>100*R4*(G5-G4)</f>
        <v>0</v>
      </c>
      <c r="V5" s="27">
        <f t="shared" ref="V5:V15" si="10">SUM(S5:U5)</f>
        <v>-97.294065897622517</v>
      </c>
      <c r="W5" s="32">
        <f t="shared" ref="W5:W15" si="11">O5-V5</f>
        <v>-0.90738957717135804</v>
      </c>
    </row>
    <row r="6" spans="1:25" x14ac:dyDescent="0.45">
      <c r="A6" s="2" t="s">
        <v>34</v>
      </c>
      <c r="B6" s="2">
        <v>130</v>
      </c>
      <c r="D6" s="55">
        <v>44732</v>
      </c>
      <c r="E6">
        <v>3</v>
      </c>
      <c r="F6" s="56">
        <v>131.56</v>
      </c>
      <c r="G6" s="58">
        <v>0.37330000000000002</v>
      </c>
      <c r="H6" s="22">
        <f t="shared" si="4"/>
        <v>0</v>
      </c>
      <c r="I6" s="19">
        <f t="shared" si="0"/>
        <v>6.8493150684931517E-2</v>
      </c>
      <c r="J6" s="23">
        <f t="shared" si="1"/>
        <v>5913.0898841384433</v>
      </c>
      <c r="K6" s="26">
        <f t="shared" si="2"/>
        <v>567.86691065274181</v>
      </c>
      <c r="L6" s="27">
        <f>-(K6-K5)</f>
        <v>-0.55192271069120125</v>
      </c>
      <c r="M6" s="30">
        <f t="shared" si="5"/>
        <v>0</v>
      </c>
      <c r="N6" s="31">
        <f t="shared" si="6"/>
        <v>-100.08597298748646</v>
      </c>
      <c r="O6" s="29">
        <f t="shared" si="7"/>
        <v>-100.08597298748646</v>
      </c>
      <c r="P6" s="28">
        <f t="shared" si="8"/>
        <v>5294.278355011932</v>
      </c>
      <c r="Q6" s="28">
        <f t="shared" si="3"/>
        <v>-101.0647930459396</v>
      </c>
      <c r="R6" s="29">
        <f t="shared" si="9"/>
        <v>135.36671985794214</v>
      </c>
      <c r="S6" s="32">
        <f t="shared" ref="S6:S15" si="12">100*(0.5*P5*H6^2)</f>
        <v>0</v>
      </c>
      <c r="T6" s="32">
        <f t="shared" ref="T6:T15" si="13">Q5</f>
        <v>-99.125867833243461</v>
      </c>
      <c r="U6" s="32">
        <f t="shared" ref="U6:U15" si="14">100*R5*(G6-G5)</f>
        <v>0</v>
      </c>
      <c r="V6" s="27">
        <f t="shared" si="10"/>
        <v>-99.125867833243461</v>
      </c>
      <c r="W6" s="32">
        <f t="shared" si="11"/>
        <v>-0.9601051542429957</v>
      </c>
    </row>
    <row r="7" spans="1:25" x14ac:dyDescent="0.45">
      <c r="A7" s="2" t="s">
        <v>35</v>
      </c>
      <c r="B7" s="3">
        <v>7.6712328767123292E-2</v>
      </c>
      <c r="D7" s="55">
        <v>44733</v>
      </c>
      <c r="E7">
        <v>4</v>
      </c>
      <c r="F7" s="56">
        <v>135.87</v>
      </c>
      <c r="G7" s="58">
        <v>0.38469999999999999</v>
      </c>
      <c r="H7" s="22">
        <f t="shared" si="4"/>
        <v>3.2235524915375943E-2</v>
      </c>
      <c r="I7" s="19">
        <f t="shared" si="0"/>
        <v>6.5753424657534254E-2</v>
      </c>
      <c r="J7" s="23">
        <f t="shared" si="1"/>
        <v>8679.4143694843478</v>
      </c>
      <c r="K7" s="26">
        <f t="shared" si="2"/>
        <v>690.41397739184993</v>
      </c>
      <c r="L7" s="27">
        <f>-(K7-K6)</f>
        <v>-122.54706673910812</v>
      </c>
      <c r="M7" s="30">
        <f>-K6*(F7-F6)</f>
        <v>-2447.5063849133185</v>
      </c>
      <c r="N7" s="31">
        <f>J7-J6</f>
        <v>2766.3244853459046</v>
      </c>
      <c r="O7" s="29">
        <f>M7+N7</f>
        <v>318.81810043258611</v>
      </c>
      <c r="P7" s="28">
        <f t="shared" si="8"/>
        <v>4856.347304779245</v>
      </c>
      <c r="Q7" s="28">
        <f t="shared" si="3"/>
        <v>-98.453520560925611</v>
      </c>
      <c r="R7" s="29">
        <f t="shared" si="9"/>
        <v>122.84296820702961</v>
      </c>
      <c r="S7" s="32">
        <f t="shared" si="12"/>
        <v>275.07192626021839</v>
      </c>
      <c r="T7" s="32">
        <f>Q6</f>
        <v>-101.0647930459396</v>
      </c>
      <c r="U7" s="32">
        <f t="shared" si="14"/>
        <v>154.31806063805359</v>
      </c>
      <c r="V7" s="27">
        <f t="shared" si="10"/>
        <v>328.3251938523324</v>
      </c>
      <c r="W7" s="32">
        <f t="shared" si="11"/>
        <v>-9.5070934197462975</v>
      </c>
    </row>
    <row r="8" spans="1:25" x14ac:dyDescent="0.45">
      <c r="A8" s="2" t="s">
        <v>36</v>
      </c>
      <c r="B8" s="24">
        <v>0.43120000000000003</v>
      </c>
      <c r="D8" s="55">
        <v>44734</v>
      </c>
      <c r="E8">
        <v>5</v>
      </c>
      <c r="F8" s="56">
        <v>135.35</v>
      </c>
      <c r="G8" s="58">
        <v>0.39560000000000001</v>
      </c>
      <c r="H8" s="22">
        <f t="shared" si="4"/>
        <v>-3.8345301759220973E-3</v>
      </c>
      <c r="I8" s="19">
        <f t="shared" si="0"/>
        <v>6.3013698630136991E-2</v>
      </c>
      <c r="J8" s="23">
        <f t="shared" si="1"/>
        <v>8356.0475652460864</v>
      </c>
      <c r="K8" s="26">
        <f t="shared" si="2"/>
        <v>675.72177099797727</v>
      </c>
      <c r="L8" s="27">
        <f t="shared" ref="L8:L15" si="15">-(K8-K7)</f>
        <v>14.692206393872652</v>
      </c>
      <c r="M8" s="30">
        <f>-K7*(F8-F7)</f>
        <v>359.01526824376901</v>
      </c>
      <c r="N8" s="31">
        <f t="shared" si="6"/>
        <v>-323.36680423826147</v>
      </c>
      <c r="O8" s="29">
        <f t="shared" si="7"/>
        <v>35.648464005507549</v>
      </c>
      <c r="P8" s="28">
        <f t="shared" si="8"/>
        <v>4901.0334066504065</v>
      </c>
      <c r="Q8" s="28">
        <f t="shared" si="3"/>
        <v>-105.06967006567241</v>
      </c>
      <c r="R8" s="29">
        <f t="shared" si="9"/>
        <v>122.17403496008423</v>
      </c>
      <c r="S8" s="32">
        <f t="shared" si="12"/>
        <v>3.5702946733937866</v>
      </c>
      <c r="T8" s="32">
        <f t="shared" si="13"/>
        <v>-98.453520560925611</v>
      </c>
      <c r="U8" s="32">
        <f>100*R7*(G8-G7)</f>
        <v>133.89883534566252</v>
      </c>
      <c r="V8" s="27">
        <f t="shared" si="10"/>
        <v>39.015609458130697</v>
      </c>
      <c r="W8" s="32">
        <f t="shared" si="11"/>
        <v>-3.3671454526231486</v>
      </c>
    </row>
    <row r="9" spans="1:25" x14ac:dyDescent="0.45">
      <c r="A9" s="2" t="s">
        <v>37</v>
      </c>
      <c r="B9" s="15">
        <v>0</v>
      </c>
      <c r="D9" s="55">
        <v>44735</v>
      </c>
      <c r="E9">
        <v>6</v>
      </c>
      <c r="F9" s="56">
        <v>138.27000000000001</v>
      </c>
      <c r="G9" s="58">
        <v>0.39279999999999998</v>
      </c>
      <c r="H9" s="22">
        <f t="shared" si="4"/>
        <v>2.1344279340216425E-2</v>
      </c>
      <c r="I9" s="19">
        <f t="shared" si="0"/>
        <v>6.0273972602739728E-2</v>
      </c>
      <c r="J9" s="23">
        <f t="shared" si="1"/>
        <v>10312.653143240013</v>
      </c>
      <c r="K9" s="26">
        <f t="shared" si="2"/>
        <v>754.19588148890853</v>
      </c>
      <c r="L9" s="27">
        <f t="shared" si="15"/>
        <v>-78.474110490931253</v>
      </c>
      <c r="M9" s="30">
        <f t="shared" si="5"/>
        <v>-1973.1075713141045</v>
      </c>
      <c r="N9" s="31">
        <f t="shared" si="6"/>
        <v>1956.605577993927</v>
      </c>
      <c r="O9" s="29">
        <f t="shared" si="7"/>
        <v>-16.501993320177462</v>
      </c>
      <c r="P9" s="28">
        <f t="shared" si="8"/>
        <v>4515.3356448008608</v>
      </c>
      <c r="Q9" s="28">
        <f t="shared" si="3"/>
        <v>-95.435540390946727</v>
      </c>
      <c r="R9" s="29">
        <f t="shared" si="9"/>
        <v>106.90335481674278</v>
      </c>
      <c r="S9" s="32">
        <f t="shared" si="12"/>
        <v>111.64021371574329</v>
      </c>
      <c r="T9" s="32">
        <f t="shared" si="13"/>
        <v>-105.06967006567241</v>
      </c>
      <c r="U9" s="32">
        <f t="shared" si="14"/>
        <v>-34.208729788823888</v>
      </c>
      <c r="V9" s="27">
        <f t="shared" si="10"/>
        <v>-27.638186138753014</v>
      </c>
      <c r="W9" s="32">
        <f t="shared" si="11"/>
        <v>11.136192818575552</v>
      </c>
    </row>
    <row r="10" spans="1:25" x14ac:dyDescent="0.45">
      <c r="A10" s="2" t="s">
        <v>38</v>
      </c>
      <c r="B10" s="15">
        <v>0</v>
      </c>
      <c r="D10" s="55">
        <v>44736</v>
      </c>
      <c r="E10">
        <v>7</v>
      </c>
      <c r="F10" s="56">
        <v>141.66</v>
      </c>
      <c r="G10" s="58">
        <v>0.34989999999999999</v>
      </c>
      <c r="H10" s="22">
        <f t="shared" si="4"/>
        <v>2.4221524924949889E-2</v>
      </c>
      <c r="I10" s="19">
        <f t="shared" si="0"/>
        <v>5.7534246575342465E-2</v>
      </c>
      <c r="J10" s="23">
        <f t="shared" si="1"/>
        <v>12566.800281703465</v>
      </c>
      <c r="K10" s="26">
        <f t="shared" si="2"/>
        <v>856.65354419788741</v>
      </c>
      <c r="L10" s="27">
        <f t="shared" si="15"/>
        <v>-102.45766270897889</v>
      </c>
      <c r="M10" s="30">
        <f t="shared" si="5"/>
        <v>-2556.7240382473897</v>
      </c>
      <c r="N10" s="31">
        <f t="shared" si="6"/>
        <v>2254.1471384634515</v>
      </c>
      <c r="O10" s="29">
        <f t="shared" si="7"/>
        <v>-302.57689978393819</v>
      </c>
      <c r="P10" s="28">
        <f t="shared" si="8"/>
        <v>3817.413280615443</v>
      </c>
      <c r="Q10" s="28">
        <f t="shared" si="3"/>
        <v>-64.022732345189254</v>
      </c>
      <c r="R10" s="29">
        <f t="shared" si="9"/>
        <v>76.849235738723891</v>
      </c>
      <c r="S10" s="32">
        <f t="shared" si="12"/>
        <v>132.45336822518939</v>
      </c>
      <c r="T10" s="32">
        <f t="shared" si="13"/>
        <v>-95.435540390946727</v>
      </c>
      <c r="U10" s="32">
        <f t="shared" si="14"/>
        <v>-458.61539216382647</v>
      </c>
      <c r="V10" s="27">
        <f t="shared" si="10"/>
        <v>-421.5975643295838</v>
      </c>
      <c r="W10" s="32">
        <f t="shared" si="11"/>
        <v>119.02066454564562</v>
      </c>
    </row>
    <row r="11" spans="1:25" x14ac:dyDescent="0.45">
      <c r="A11" s="2" t="s">
        <v>41</v>
      </c>
      <c r="B11" s="48">
        <v>1000</v>
      </c>
      <c r="D11" s="55">
        <v>44737</v>
      </c>
      <c r="E11">
        <v>8</v>
      </c>
      <c r="F11" s="56">
        <v>141.66</v>
      </c>
      <c r="G11" s="58">
        <v>0.34989999999999999</v>
      </c>
      <c r="H11" s="22">
        <f t="shared" si="4"/>
        <v>0</v>
      </c>
      <c r="I11" s="19">
        <f t="shared" si="0"/>
        <v>5.4794520547945209E-2</v>
      </c>
      <c r="J11" s="23">
        <f t="shared" si="1"/>
        <v>12502.826220931653</v>
      </c>
      <c r="K11" s="26">
        <f t="shared" si="2"/>
        <v>862.07010040642342</v>
      </c>
      <c r="L11" s="27">
        <f t="shared" si="15"/>
        <v>-5.4165562085360079</v>
      </c>
      <c r="M11" s="30">
        <f t="shared" si="5"/>
        <v>0</v>
      </c>
      <c r="N11" s="31">
        <f t="shared" si="6"/>
        <v>-63.974060771812219</v>
      </c>
      <c r="O11" s="29">
        <f t="shared" si="7"/>
        <v>-63.974060771812219</v>
      </c>
      <c r="P11" s="28">
        <f t="shared" si="8"/>
        <v>3810.7434091948112</v>
      </c>
      <c r="Q11" s="28">
        <f t="shared" si="3"/>
        <v>-63.910870369199301</v>
      </c>
      <c r="R11" s="29">
        <f t="shared" si="9"/>
        <v>73.061869527521367</v>
      </c>
      <c r="S11" s="32">
        <f t="shared" si="12"/>
        <v>0</v>
      </c>
      <c r="T11" s="32">
        <f t="shared" si="13"/>
        <v>-64.022732345189254</v>
      </c>
      <c r="U11" s="32">
        <f t="shared" si="14"/>
        <v>0</v>
      </c>
      <c r="V11" s="27">
        <f t="shared" si="10"/>
        <v>-64.022732345189254</v>
      </c>
      <c r="W11" s="32">
        <f t="shared" si="11"/>
        <v>4.8671573377035315E-2</v>
      </c>
    </row>
    <row r="12" spans="1:25" x14ac:dyDescent="0.45">
      <c r="A12" s="2" t="s">
        <v>42</v>
      </c>
      <c r="B12" s="25">
        <v>0.6</v>
      </c>
      <c r="D12" s="55">
        <v>44738</v>
      </c>
      <c r="E12">
        <v>9</v>
      </c>
      <c r="F12" s="56">
        <v>141.66</v>
      </c>
      <c r="G12" s="58">
        <v>0.34989999999999999</v>
      </c>
      <c r="H12" s="22">
        <f t="shared" si="4"/>
        <v>0</v>
      </c>
      <c r="I12" s="19">
        <f t="shared" si="0"/>
        <v>5.2054794520547953E-2</v>
      </c>
      <c r="J12" s="23">
        <f t="shared" si="1"/>
        <v>12439.010415482486</v>
      </c>
      <c r="K12" s="26">
        <f t="shared" si="2"/>
        <v>867.76197663802827</v>
      </c>
      <c r="L12" s="27">
        <f t="shared" si="15"/>
        <v>-5.6918762316048515</v>
      </c>
      <c r="M12" s="30">
        <f t="shared" si="5"/>
        <v>0</v>
      </c>
      <c r="N12" s="31">
        <f t="shared" si="6"/>
        <v>-63.815805449166874</v>
      </c>
      <c r="O12" s="29">
        <f t="shared" si="7"/>
        <v>-63.815805449166874</v>
      </c>
      <c r="P12" s="28">
        <f t="shared" si="8"/>
        <v>3798.3649920162497</v>
      </c>
      <c r="Q12" s="28">
        <f t="shared" si="3"/>
        <v>-63.703269035095808</v>
      </c>
      <c r="R12" s="29">
        <f t="shared" si="9"/>
        <v>69.183315899789676</v>
      </c>
      <c r="S12" s="32">
        <f t="shared" si="12"/>
        <v>0</v>
      </c>
      <c r="T12" s="32">
        <f t="shared" si="13"/>
        <v>-63.910870369199301</v>
      </c>
      <c r="U12" s="32">
        <f t="shared" si="14"/>
        <v>0</v>
      </c>
      <c r="V12" s="27">
        <f t="shared" si="10"/>
        <v>-63.910870369199301</v>
      </c>
      <c r="W12" s="32">
        <f t="shared" si="11"/>
        <v>9.5064920032427835E-2</v>
      </c>
    </row>
    <row r="13" spans="1:25" x14ac:dyDescent="0.45">
      <c r="D13" s="55">
        <v>44739</v>
      </c>
      <c r="E13">
        <v>10</v>
      </c>
      <c r="F13" s="56">
        <v>141.66</v>
      </c>
      <c r="G13" s="58">
        <v>0.41970000000000002</v>
      </c>
      <c r="H13" s="22">
        <f t="shared" si="4"/>
        <v>0</v>
      </c>
      <c r="I13" s="19">
        <f t="shared" si="0"/>
        <v>4.9315068493150691E-2</v>
      </c>
      <c r="J13" s="23">
        <f t="shared" si="1"/>
        <v>12879.94303277128</v>
      </c>
      <c r="K13" s="26">
        <f t="shared" si="2"/>
        <v>833.52730202095631</v>
      </c>
      <c r="L13" s="27">
        <f t="shared" si="15"/>
        <v>34.23467461707196</v>
      </c>
      <c r="M13" s="30">
        <f t="shared" si="5"/>
        <v>0</v>
      </c>
      <c r="N13" s="31">
        <f t="shared" si="6"/>
        <v>440.93261728879406</v>
      </c>
      <c r="O13" s="29">
        <f t="shared" si="7"/>
        <v>440.93261728879406</v>
      </c>
      <c r="P13" s="28">
        <f t="shared" si="8"/>
        <v>3794.6612123058057</v>
      </c>
      <c r="Q13" s="28">
        <f t="shared" si="3"/>
        <v>-91.564702019829056</v>
      </c>
      <c r="R13" s="29">
        <f t="shared" si="9"/>
        <v>78.540130395850539</v>
      </c>
      <c r="S13" s="32">
        <f t="shared" si="12"/>
        <v>0</v>
      </c>
      <c r="T13" s="32">
        <f t="shared" si="13"/>
        <v>-63.703269035095808</v>
      </c>
      <c r="U13" s="32">
        <f t="shared" si="14"/>
        <v>482.89954498053214</v>
      </c>
      <c r="V13" s="27">
        <f t="shared" si="10"/>
        <v>419.19627594543635</v>
      </c>
      <c r="W13" s="32">
        <f t="shared" si="11"/>
        <v>21.736341343357708</v>
      </c>
    </row>
    <row r="14" spans="1:25" ht="30" x14ac:dyDescent="0.45">
      <c r="A14" s="17" t="s">
        <v>48</v>
      </c>
      <c r="B14" s="14"/>
      <c r="D14" s="55">
        <v>44740</v>
      </c>
      <c r="E14">
        <v>11</v>
      </c>
      <c r="F14" s="56">
        <v>137.44</v>
      </c>
      <c r="G14" s="58">
        <v>0.39610000000000001</v>
      </c>
      <c r="H14" s="22">
        <f t="shared" si="4"/>
        <v>-3.0242362089531329E-2</v>
      </c>
      <c r="I14" s="19">
        <f t="shared" si="0"/>
        <v>4.6575342465753428E-2</v>
      </c>
      <c r="J14" s="23">
        <f t="shared" si="1"/>
        <v>9211.4063606059481</v>
      </c>
      <c r="K14" s="26">
        <f t="shared" si="2"/>
        <v>756.08957867917013</v>
      </c>
      <c r="L14" s="27">
        <f t="shared" si="15"/>
        <v>77.437723341786182</v>
      </c>
      <c r="M14" s="30">
        <f>-K13*(F14-F13)</f>
        <v>3517.4852145284349</v>
      </c>
      <c r="N14" s="31">
        <f t="shared" si="6"/>
        <v>-3668.5366721653318</v>
      </c>
      <c r="O14" s="29">
        <f t="shared" si="7"/>
        <v>-151.05145763689688</v>
      </c>
      <c r="P14" s="28">
        <f t="shared" si="8"/>
        <v>5042.2111152638463</v>
      </c>
      <c r="Q14" s="28">
        <f t="shared" si="3"/>
        <v>-108.36969476625416</v>
      </c>
      <c r="R14" s="29">
        <f t="shared" si="9"/>
        <v>93.021197224252518</v>
      </c>
      <c r="S14" s="32">
        <f t="shared" si="12"/>
        <v>173.52994541800439</v>
      </c>
      <c r="T14" s="32">
        <f t="shared" si="13"/>
        <v>-91.564702019829056</v>
      </c>
      <c r="U14" s="32">
        <f t="shared" si="14"/>
        <v>-185.35470773420735</v>
      </c>
      <c r="V14" s="27">
        <f t="shared" si="10"/>
        <v>-103.38946433603202</v>
      </c>
      <c r="W14" s="32">
        <f t="shared" si="11"/>
        <v>-47.661993300864864</v>
      </c>
    </row>
    <row r="15" spans="1:25" x14ac:dyDescent="0.45">
      <c r="A15" s="14" t="s">
        <v>43</v>
      </c>
      <c r="B15" s="16">
        <v>0.15</v>
      </c>
      <c r="D15" s="55">
        <v>44741</v>
      </c>
      <c r="E15">
        <v>12</v>
      </c>
      <c r="F15" s="56">
        <v>139.22999999999999</v>
      </c>
      <c r="G15" s="58">
        <v>0.40789999999999998</v>
      </c>
      <c r="H15" s="22">
        <f t="shared" si="4"/>
        <v>1.2939783685248842E-2</v>
      </c>
      <c r="I15" s="19">
        <f t="shared" si="0"/>
        <v>4.3835616438356172E-2</v>
      </c>
      <c r="J15" s="23">
        <f t="shared" si="1"/>
        <v>10602.678754973311</v>
      </c>
      <c r="K15" s="26">
        <f t="shared" si="2"/>
        <v>801.18954937268279</v>
      </c>
      <c r="L15" s="27">
        <f t="shared" si="15"/>
        <v>-45.09997069351266</v>
      </c>
      <c r="M15" s="30">
        <f>-K14*(F15-F14)</f>
        <v>-1353.4003458357085</v>
      </c>
      <c r="N15" s="31">
        <f t="shared" si="6"/>
        <v>1391.2723943673627</v>
      </c>
      <c r="O15" s="29">
        <f t="shared" si="7"/>
        <v>37.872048531654173</v>
      </c>
      <c r="P15" s="28">
        <f t="shared" si="8"/>
        <v>4547.8355622900326</v>
      </c>
      <c r="Q15" s="28">
        <f t="shared" si="3"/>
        <v>-103.65477275856445</v>
      </c>
      <c r="R15" s="29">
        <f>$B$11*OptionVega(F15,$B$6,I15,$B$9,G15,$B$10)</f>
        <v>81.317791818437456</v>
      </c>
      <c r="S15" s="32">
        <f t="shared" si="12"/>
        <v>42.212887694978811</v>
      </c>
      <c r="T15" s="32">
        <f t="shared" si="13"/>
        <v>-108.36969476625416</v>
      </c>
      <c r="U15" s="32">
        <f t="shared" si="14"/>
        <v>109.76501272461776</v>
      </c>
      <c r="V15" s="27">
        <f t="shared" si="10"/>
        <v>43.608205653342409</v>
      </c>
      <c r="W15" s="32">
        <f t="shared" si="11"/>
        <v>-5.7361571216882368</v>
      </c>
    </row>
    <row r="16" spans="1:25" x14ac:dyDescent="0.45">
      <c r="A16" s="14" t="s">
        <v>44</v>
      </c>
      <c r="B16" s="16">
        <v>0.75</v>
      </c>
      <c r="D16" s="55">
        <v>44742</v>
      </c>
      <c r="E16">
        <v>13</v>
      </c>
      <c r="F16" s="19">
        <v>136.72</v>
      </c>
      <c r="G16" s="58">
        <v>0.3639</v>
      </c>
      <c r="H16" s="22">
        <f t="shared" si="4"/>
        <v>-1.8192203113858621E-2</v>
      </c>
      <c r="I16" s="19">
        <f t="shared" ref="I16:I17" si="16">$B$7-E16/365</f>
        <v>4.1095890410958909E-2</v>
      </c>
      <c r="J16" s="23">
        <f t="shared" ref="J16:J17" si="17">$B$11*optionPrice($B$4,F16,$B$6,I16,$B$9,G16,$B$10)</f>
        <v>8165.0387075744111</v>
      </c>
      <c r="K16" s="26">
        <f t="shared" ref="K16:K17" si="18">$B$11*OptionDelta($B$4,F16,$B$6,I16,$B$9,G16,$B$10)</f>
        <v>764.26685278430057</v>
      </c>
      <c r="L16" s="27">
        <f t="shared" ref="L16:L17" si="19">-(K16-K15)</f>
        <v>36.922696588382223</v>
      </c>
      <c r="M16" s="30">
        <f t="shared" ref="M16" si="20">-K15*(F16-F15)</f>
        <v>2010.9857689254266</v>
      </c>
      <c r="N16" s="31">
        <f t="shared" ref="N16" si="21">J16-J15</f>
        <v>-2437.6400473988997</v>
      </c>
      <c r="O16" s="29">
        <f t="shared" ref="O16:O17" si="22">M16+N16</f>
        <v>-426.65427847347314</v>
      </c>
      <c r="P16" s="28">
        <f t="shared" ref="P16" si="23">($B$11*OptionGamma(F16,$B$6,I16,$B$9,G16,$B$10))*F16^2*1%</f>
        <v>5705.082353103644</v>
      </c>
      <c r="Q16" s="28">
        <f t="shared" ref="Q16:Q17" si="24">$B$11*OptionTheta($B$4,F16,$B$6,I16,$B$9,G16,$B$10)</f>
        <v>-103.49113952223809</v>
      </c>
      <c r="R16" s="29">
        <f t="shared" ref="R16:R17" si="25">$B$11*OptionVega(F16,$B$6,I16,$B$9,G16,$B$10)</f>
        <v>85.318334313469151</v>
      </c>
      <c r="S16" s="32">
        <f t="shared" ref="S16" si="26">100*(0.5*P15*H16^2)</f>
        <v>75.256731106074298</v>
      </c>
      <c r="T16" s="32">
        <f t="shared" ref="T16:T17" si="27">Q15</f>
        <v>-103.65477275856445</v>
      </c>
      <c r="U16" s="32">
        <f t="shared" ref="U16" si="28">100*R15*(G16-G15)</f>
        <v>-357.79828400112467</v>
      </c>
      <c r="V16" s="27">
        <f t="shared" ref="V16:V17" si="29">SUM(S16:U16)</f>
        <v>-386.19632565361485</v>
      </c>
      <c r="W16" s="32">
        <f t="shared" ref="W16:W17" si="30">O16-V16</f>
        <v>-40.457952819858292</v>
      </c>
    </row>
    <row r="17" spans="1:23" x14ac:dyDescent="0.45">
      <c r="D17" s="55">
        <v>44743</v>
      </c>
      <c r="E17">
        <v>14</v>
      </c>
      <c r="F17" s="19">
        <v>138.93</v>
      </c>
      <c r="G17" s="58">
        <v>0.3826</v>
      </c>
      <c r="H17" s="22">
        <f t="shared" si="4"/>
        <v>1.6035170353434821E-2</v>
      </c>
      <c r="I17" s="19">
        <f t="shared" si="16"/>
        <v>3.8356164383561646E-2</v>
      </c>
      <c r="J17" s="23">
        <f t="shared" si="17"/>
        <v>9965.9378934577344</v>
      </c>
      <c r="K17" s="26">
        <f t="shared" si="18"/>
        <v>822.28009126292625</v>
      </c>
      <c r="L17" s="27">
        <f t="shared" si="19"/>
        <v>-58.013238478625681</v>
      </c>
      <c r="M17" s="30">
        <f>-K16*(F17-F16)</f>
        <v>-1689.0297446533104</v>
      </c>
      <c r="N17" s="31">
        <f>J17-J16</f>
        <v>1800.8991858833233</v>
      </c>
      <c r="O17" s="29">
        <f t="shared" si="22"/>
        <v>111.86944123001285</v>
      </c>
      <c r="P17" s="28">
        <f>($B$11*OptionGamma(F17,$B$6,I17,$B$9,G17,$B$10))*F17^2*1%</f>
        <v>4826.2810182636749</v>
      </c>
      <c r="Q17" s="28">
        <f t="shared" si="24"/>
        <v>-96.778676162883173</v>
      </c>
      <c r="R17" s="29">
        <f t="shared" si="25"/>
        <v>70.826004510212485</v>
      </c>
      <c r="S17" s="32">
        <f>100*(0.5*P16*H17^2)</f>
        <v>73.346446586253705</v>
      </c>
      <c r="T17" s="32">
        <f t="shared" si="27"/>
        <v>-103.49113952223809</v>
      </c>
      <c r="U17" s="32">
        <f>100*R16*(G17-G16)</f>
        <v>159.54528516618726</v>
      </c>
      <c r="V17" s="27">
        <f t="shared" si="29"/>
        <v>129.40059223020288</v>
      </c>
      <c r="W17" s="32">
        <f t="shared" si="30"/>
        <v>-17.531151000190022</v>
      </c>
    </row>
    <row r="18" spans="1:23" x14ac:dyDescent="0.45">
      <c r="A18" s="5" t="s">
        <v>96</v>
      </c>
      <c r="B18" s="59">
        <f>(6.21-5.85)*B11</f>
        <v>360.00000000000034</v>
      </c>
      <c r="D18" s="55">
        <v>44744</v>
      </c>
      <c r="E18">
        <v>15</v>
      </c>
      <c r="F18" s="19">
        <v>138.93</v>
      </c>
      <c r="G18" s="58">
        <v>0.3826</v>
      </c>
      <c r="H18" s="22">
        <f t="shared" si="4"/>
        <v>0</v>
      </c>
      <c r="I18" s="19">
        <f t="shared" ref="I18:I19" si="31">$B$7-E18/365</f>
        <v>3.561643835616439E-2</v>
      </c>
      <c r="J18" s="23">
        <f t="shared" ref="J18:J19" si="32">$B$11*optionPrice($B$4,F18,$B$6,I18,$B$9,G18,$B$10)</f>
        <v>9868.8120071676203</v>
      </c>
      <c r="K18" s="26">
        <f>$B$11*OptionDelta($B$4,F18,$B$6,I18,$B$9,G18,$B$10)</f>
        <v>830.51330526704828</v>
      </c>
      <c r="L18" s="27">
        <f>-(K18-K17)</f>
        <v>-8.2332140041220327</v>
      </c>
      <c r="M18" s="30">
        <f t="shared" ref="M18:M19" si="33">-K17*(F18-F17)</f>
        <v>0</v>
      </c>
      <c r="N18" s="31">
        <f>J18-J17</f>
        <v>-97.125886290114067</v>
      </c>
      <c r="O18" s="29">
        <f t="shared" ref="O18:O19" si="34">M18+N18</f>
        <v>-97.125886290114067</v>
      </c>
      <c r="P18" s="28">
        <f>($B$11*OptionGamma(F18,$B$6,I18,$B$9,G18,$B$10))*F18^2*1%</f>
        <v>4859.5489974916572</v>
      </c>
      <c r="Q18" s="28">
        <f t="shared" ref="Q18:Q19" si="35">$B$11*OptionTheta($B$4,F18,$B$6,I18,$B$9,G18,$B$10)</f>
        <v>-97.445780083296171</v>
      </c>
      <c r="R18" s="29">
        <f t="shared" ref="R18" si="36">$B$11*OptionVega(F18,$B$6,I18,$B$9,G18,$B$10)</f>
        <v>66.220341928010996</v>
      </c>
      <c r="S18" s="32">
        <f t="shared" ref="S18" si="37">100*(0.5*P17*H18^2)</f>
        <v>0</v>
      </c>
      <c r="T18" s="32">
        <f t="shared" ref="T18:T19" si="38">Q17</f>
        <v>-96.778676162883173</v>
      </c>
      <c r="U18" s="32">
        <f t="shared" ref="U18" si="39">100*R17*(G18-G17)</f>
        <v>0</v>
      </c>
      <c r="V18" s="27">
        <f t="shared" ref="V18:V19" si="40">SUM(S18:U18)</f>
        <v>-96.778676162883173</v>
      </c>
      <c r="W18" s="32">
        <f t="shared" ref="W18:W19" si="41">O18-V18</f>
        <v>-0.34721012723089473</v>
      </c>
    </row>
    <row r="19" spans="1:23" x14ac:dyDescent="0.45">
      <c r="D19" s="55">
        <v>44745</v>
      </c>
      <c r="E19">
        <v>16</v>
      </c>
      <c r="F19" s="19">
        <v>138.93</v>
      </c>
      <c r="G19" s="58">
        <v>0.3826</v>
      </c>
      <c r="H19" s="22">
        <f t="shared" si="4"/>
        <v>0</v>
      </c>
      <c r="I19" s="19">
        <f t="shared" si="31"/>
        <v>3.2876712328767127E-2</v>
      </c>
      <c r="J19" s="23">
        <f t="shared" si="32"/>
        <v>9771.1122100756711</v>
      </c>
      <c r="K19" s="26">
        <f t="shared" ref="K19" si="42">$B$11*OptionDelta($B$4,F19,$B$6,I19,$B$9,G19,$B$10)</f>
        <v>839.48646047142017</v>
      </c>
      <c r="L19" s="27">
        <f t="shared" ref="L19" si="43">-(K19-K18)</f>
        <v>-8.9731552043718921</v>
      </c>
      <c r="M19" s="30">
        <f t="shared" si="33"/>
        <v>0</v>
      </c>
      <c r="N19" s="31">
        <f t="shared" ref="N19" si="44">J19-J18</f>
        <v>-97.699797091949222</v>
      </c>
      <c r="O19" s="29">
        <f t="shared" si="34"/>
        <v>-97.699797091949222</v>
      </c>
      <c r="P19" s="28">
        <f t="shared" ref="P19" si="45">($B$11*OptionGamma(F19,$B$6,I19,$B$9,G19,$B$10))*F19^2*1%</f>
        <v>4882.9196440036912</v>
      </c>
      <c r="Q19" s="28">
        <f t="shared" si="35"/>
        <v>-97.914418403764088</v>
      </c>
      <c r="R19" s="29">
        <f>$B$11*OptionVega(F19,$B$6,I19,$B$9,G19,$B$10)</f>
        <v>61.420440190547268</v>
      </c>
      <c r="S19" s="32">
        <f>100*(0.5*P18*H19^2)</f>
        <v>0</v>
      </c>
      <c r="T19" s="32">
        <f t="shared" si="38"/>
        <v>-97.445780083296171</v>
      </c>
      <c r="U19" s="32">
        <f>100*R18*(G19-G18)</f>
        <v>0</v>
      </c>
      <c r="V19" s="27">
        <f t="shared" si="40"/>
        <v>-97.445780083296171</v>
      </c>
      <c r="W19" s="32">
        <f t="shared" si="41"/>
        <v>-0.25401700865305088</v>
      </c>
    </row>
    <row r="20" spans="1:23" x14ac:dyDescent="0.45">
      <c r="A20" t="s">
        <v>6</v>
      </c>
      <c r="D20" s="55">
        <v>44746</v>
      </c>
      <c r="E20">
        <v>17</v>
      </c>
      <c r="F20" s="19">
        <v>138.93</v>
      </c>
      <c r="G20" s="58">
        <v>0.3826</v>
      </c>
      <c r="H20" s="22">
        <f t="shared" si="4"/>
        <v>0</v>
      </c>
      <c r="I20" s="19">
        <f t="shared" ref="I20:I21" si="46">$B$7-E20/365</f>
        <v>3.0136986301369864E-2</v>
      </c>
      <c r="J20" s="23">
        <f t="shared" ref="J20:J21" si="47">$B$11*optionPrice($B$4,F20,$B$6,I20,$B$9,G20,$B$10)</f>
        <v>9673.0779262998531</v>
      </c>
      <c r="K20" s="26">
        <f t="shared" ref="K20:K21" si="48">$B$11*OptionDelta($B$4,F20,$B$6,I20,$B$9,G20,$B$10)</f>
        <v>849.30476045731768</v>
      </c>
      <c r="L20" s="27">
        <f t="shared" ref="L20:L21" si="49">-(K20-K19)</f>
        <v>-9.8182999858975109</v>
      </c>
      <c r="M20" s="30">
        <f t="shared" ref="M20:M21" si="50">-K19*(F20-F19)</f>
        <v>0</v>
      </c>
      <c r="N20" s="31">
        <f t="shared" ref="N20:N21" si="51">J20-J19</f>
        <v>-98.034283775818039</v>
      </c>
      <c r="O20" s="29">
        <f t="shared" ref="O20:O21" si="52">M20+N20</f>
        <v>-98.034283775818039</v>
      </c>
      <c r="P20" s="28">
        <f t="shared" ref="P20:P21" si="53">($B$11*OptionGamma(F20,$B$6,I20,$B$9,G20,$B$10))*F20^2*1%</f>
        <v>4892.0524566575559</v>
      </c>
      <c r="Q20" s="28">
        <f t="shared" ref="Q20:Q21" si="54">$B$11*OptionTheta($B$4,F20,$B$6,I20,$B$9,G20,$B$10)</f>
        <v>-98.097553516481298</v>
      </c>
      <c r="R20" s="29">
        <f t="shared" ref="R20:R21" si="55">$B$11*OptionVega(F20,$B$6,I20,$B$9,G20,$B$10)</f>
        <v>56.407375257778071</v>
      </c>
      <c r="S20" s="32">
        <f t="shared" ref="S20" si="56">100*(0.5*P19*H20^2)</f>
        <v>0</v>
      </c>
      <c r="T20" s="32">
        <f t="shared" ref="T20:T21" si="57">Q19</f>
        <v>-97.914418403764088</v>
      </c>
      <c r="U20" s="32">
        <f t="shared" ref="U20:U21" si="58">100*R19*(G20-G19)</f>
        <v>0</v>
      </c>
      <c r="V20" s="27">
        <f t="shared" ref="V20:V21" si="59">SUM(S20:U20)</f>
        <v>-97.914418403764088</v>
      </c>
      <c r="W20" s="32">
        <f t="shared" ref="W20:W21" si="60">O20-V20</f>
        <v>-0.11986537205395109</v>
      </c>
    </row>
    <row r="21" spans="1:23" x14ac:dyDescent="0.45">
      <c r="A21" t="s">
        <v>131</v>
      </c>
      <c r="D21" s="55">
        <v>44747</v>
      </c>
      <c r="E21">
        <v>18</v>
      </c>
      <c r="F21" s="19">
        <v>141.56</v>
      </c>
      <c r="G21" s="58">
        <v>0.43409999999999999</v>
      </c>
      <c r="H21" s="22">
        <f t="shared" si="4"/>
        <v>1.8753446316492256E-2</v>
      </c>
      <c r="I21" s="19">
        <f t="shared" si="46"/>
        <v>2.7397260273972608E-2</v>
      </c>
      <c r="J21" s="23">
        <f t="shared" si="47"/>
        <v>12122.944021053825</v>
      </c>
      <c r="K21" s="26">
        <f t="shared" si="48"/>
        <v>889.05816692338965</v>
      </c>
      <c r="L21" s="27">
        <f t="shared" si="49"/>
        <v>-39.753406466071965</v>
      </c>
      <c r="M21" s="30">
        <f t="shared" si="50"/>
        <v>-2233.6715200027415</v>
      </c>
      <c r="N21" s="31">
        <f t="shared" si="51"/>
        <v>2449.866094753972</v>
      </c>
      <c r="O21" s="29">
        <f t="shared" si="52"/>
        <v>216.19457475123045</v>
      </c>
      <c r="P21" s="28">
        <f t="shared" si="53"/>
        <v>3727.2772601464899</v>
      </c>
      <c r="Q21" s="28">
        <f t="shared" si="54"/>
        <v>-96.216246650836368</v>
      </c>
      <c r="R21" s="29">
        <f t="shared" si="55"/>
        <v>44.329070099440862</v>
      </c>
      <c r="S21" s="32">
        <f>100*(0.5*P20*H21^2)</f>
        <v>86.024724171844696</v>
      </c>
      <c r="T21" s="32">
        <f t="shared" si="57"/>
        <v>-98.097553516481298</v>
      </c>
      <c r="U21" s="32">
        <f t="shared" si="58"/>
        <v>290.49798257755697</v>
      </c>
      <c r="V21" s="27">
        <f t="shared" si="59"/>
        <v>278.42515323292037</v>
      </c>
      <c r="W21" s="32">
        <f t="shared" si="60"/>
        <v>-62.230578481689918</v>
      </c>
    </row>
    <row r="22" spans="1:23" x14ac:dyDescent="0.45">
      <c r="D22" s="55">
        <v>44748</v>
      </c>
      <c r="E22">
        <v>19</v>
      </c>
      <c r="F22" s="19">
        <v>142.91999999999999</v>
      </c>
      <c r="G22" s="58">
        <v>0.40289999999999998</v>
      </c>
      <c r="H22" s="22">
        <f t="shared" si="4"/>
        <v>9.5613776779463096E-3</v>
      </c>
      <c r="I22" s="19">
        <f t="shared" ref="I22" si="61">$B$7-E22/365</f>
        <v>2.4657534246575345E-2</v>
      </c>
      <c r="J22" s="23">
        <f>$B$11*optionPrice($B$4,F22,$B$6,I22,$B$9,G22,$B$10)</f>
        <v>13173.997201060274</v>
      </c>
      <c r="K22" s="26">
        <f t="shared" ref="K22" si="62">$B$11*OptionDelta($B$4,F22,$B$6,I22,$B$9,G22,$B$10)</f>
        <v>936.90263741676392</v>
      </c>
      <c r="L22" s="27">
        <f t="shared" ref="L22" si="63">-(K22-K21)</f>
        <v>-47.844470493374274</v>
      </c>
      <c r="M22" s="30">
        <f t="shared" ref="M22" si="64">-K21*(F22-F21)</f>
        <v>-1209.1191070157968</v>
      </c>
      <c r="N22" s="31">
        <f t="shared" ref="N22" si="65">J22-J21</f>
        <v>1051.0531800064491</v>
      </c>
      <c r="O22" s="29">
        <f>M22+N22</f>
        <v>-158.06592700934766</v>
      </c>
      <c r="P22" s="28">
        <f>($B$11*OptionGamma(F22,$B$6,I22,$B$9,G22,$B$10))*F22^2*1%</f>
        <v>2798.9069124939542</v>
      </c>
      <c r="Q22" s="28">
        <f t="shared" ref="Q22" si="66">$B$11*OptionTheta($B$4,F22,$B$6,I22,$B$9,G22,$B$10)</f>
        <v>-62.238645047007218</v>
      </c>
      <c r="R22" s="29">
        <f t="shared" ref="R22" si="67">$B$11*OptionVega(F22,$B$6,I22,$B$9,G22,$B$10)</f>
        <v>27.805798233957063</v>
      </c>
      <c r="S22" s="32">
        <f>100*(0.5*P21*H22^2)</f>
        <v>17.037373752087294</v>
      </c>
      <c r="T22" s="32">
        <f t="shared" ref="T22" si="68">Q21</f>
        <v>-96.216246650836368</v>
      </c>
      <c r="U22" s="32">
        <f>100*R21*(G22-G21)</f>
        <v>-138.30669871025552</v>
      </c>
      <c r="V22" s="27">
        <f t="shared" ref="V22" si="69">SUM(S22:U22)</f>
        <v>-217.48557160900458</v>
      </c>
      <c r="W22" s="32">
        <f t="shared" ref="W22" si="70">O22-V22</f>
        <v>59.41964459965692</v>
      </c>
    </row>
    <row r="23" spans="1:23" x14ac:dyDescent="0.45">
      <c r="D23" s="55">
        <v>44749</v>
      </c>
      <c r="E23">
        <v>20</v>
      </c>
      <c r="F23" s="19">
        <v>146.35</v>
      </c>
      <c r="G23" s="58">
        <v>0.38679999999999998</v>
      </c>
      <c r="H23" s="22">
        <f t="shared" si="4"/>
        <v>2.3715979982685924E-2</v>
      </c>
      <c r="I23" s="19">
        <f t="shared" ref="I23:I24" si="71">$B$7-E23/365</f>
        <v>2.1917808219178089E-2</v>
      </c>
      <c r="J23" s="23">
        <f t="shared" ref="J23:J24" si="72">$B$11*optionPrice($B$4,F23,$B$6,I23,$B$9,G23,$B$10)</f>
        <v>16405.653782700581</v>
      </c>
      <c r="K23" s="26">
        <f t="shared" ref="K23:K24" si="73">$B$11*OptionDelta($B$4,F23,$B$6,I23,$B$9,G23,$B$10)</f>
        <v>982.02070243606397</v>
      </c>
      <c r="L23" s="27">
        <f t="shared" ref="L23:L24" si="74">-(K23-K22)</f>
        <v>-45.118065019300047</v>
      </c>
      <c r="M23" s="30">
        <f t="shared" ref="M23:M24" si="75">-K22*(F23-F22)</f>
        <v>-3213.5760463395068</v>
      </c>
      <c r="N23" s="31">
        <f t="shared" ref="N23" si="76">J23-J22</f>
        <v>3231.6565816403072</v>
      </c>
      <c r="O23" s="29">
        <f t="shared" ref="O23:O24" si="77">M23+N23</f>
        <v>18.08053530080042</v>
      </c>
      <c r="P23" s="28">
        <f t="shared" ref="P23:P24" si="78">($B$11*OptionGamma(F23,$B$6,I23,$B$9,G23,$B$10))*F23^2*1%</f>
        <v>1130.244694736391</v>
      </c>
      <c r="Q23" s="28">
        <f t="shared" ref="Q23" si="79">$B$11*OptionTheta($B$4,F23,$B$6,I23,$B$9,G23,$B$10)</f>
        <v>-23.16447959137221</v>
      </c>
      <c r="R23" s="29">
        <f t="shared" ref="R23:R24" si="80">$B$11*OptionVega(F23,$B$6,I23,$B$9,G23,$B$10)</f>
        <v>9.5819977627186024</v>
      </c>
      <c r="S23" s="32">
        <f t="shared" ref="S23" si="81">100*(0.5*P22*H23^2)</f>
        <v>78.711938687441219</v>
      </c>
      <c r="T23" s="32">
        <f t="shared" ref="T23:T24" si="82">Q22</f>
        <v>-62.238645047007218</v>
      </c>
      <c r="U23" s="32">
        <f t="shared" ref="U23" si="83">100*R22*(G23-G22)</f>
        <v>-44.767335156670882</v>
      </c>
      <c r="V23" s="27">
        <f t="shared" ref="V23:V24" si="84">SUM(S23:U23)</f>
        <v>-28.294041516236881</v>
      </c>
      <c r="W23" s="32">
        <f t="shared" ref="W23:W24" si="85">O23-V23</f>
        <v>46.374576817037301</v>
      </c>
    </row>
    <row r="24" spans="1:23" x14ac:dyDescent="0.45">
      <c r="D24" s="55">
        <v>44750</v>
      </c>
      <c r="E24">
        <v>21</v>
      </c>
      <c r="F24" s="19">
        <v>147.04</v>
      </c>
      <c r="G24" s="58">
        <v>0.45960000000000001</v>
      </c>
      <c r="H24" s="22">
        <f t="shared" si="4"/>
        <v>4.7036454694819856E-3</v>
      </c>
      <c r="I24" s="19">
        <f t="shared" si="71"/>
        <v>1.9178082191780826E-2</v>
      </c>
      <c r="J24" s="23">
        <f t="shared" si="72"/>
        <v>17128.698608212362</v>
      </c>
      <c r="K24" s="26">
        <f t="shared" si="73"/>
        <v>975.40905288676356</v>
      </c>
      <c r="L24" s="27">
        <f t="shared" si="74"/>
        <v>6.6116495493004095</v>
      </c>
      <c r="M24" s="30">
        <f t="shared" si="75"/>
        <v>-677.59428468088186</v>
      </c>
      <c r="N24" s="31">
        <f>J24-J23</f>
        <v>723.0448255117808</v>
      </c>
      <c r="O24" s="29">
        <f t="shared" si="77"/>
        <v>45.450540830898944</v>
      </c>
      <c r="P24" s="28">
        <f t="shared" si="78"/>
        <v>1331.6533780689135</v>
      </c>
      <c r="Q24" s="28">
        <f>$B$11*OptionTheta($B$4,F24,$B$6,I24,$B$9,G24,$B$10)</f>
        <v>-38.532605400108658</v>
      </c>
      <c r="R24" s="29">
        <f t="shared" si="80"/>
        <v>11.73752122718715</v>
      </c>
      <c r="S24" s="32">
        <f>100*(0.5*P23*H24^2)</f>
        <v>1.250292544447398</v>
      </c>
      <c r="T24" s="32">
        <f t="shared" si="82"/>
        <v>-23.16447959137221</v>
      </c>
      <c r="U24" s="32">
        <f>100*R23*(G24-G23)</f>
        <v>69.756943712591465</v>
      </c>
      <c r="V24" s="27">
        <f t="shared" si="84"/>
        <v>47.842756665666656</v>
      </c>
      <c r="W24" s="32">
        <f t="shared" si="85"/>
        <v>-2.3922158347677112</v>
      </c>
    </row>
    <row r="25" spans="1:23" x14ac:dyDescent="0.45">
      <c r="D25" s="55">
        <v>44751</v>
      </c>
      <c r="E25">
        <v>22</v>
      </c>
      <c r="F25" s="19">
        <v>147.04</v>
      </c>
      <c r="G25" s="58">
        <v>0.45960000000000001</v>
      </c>
      <c r="H25" s="22">
        <f t="shared" si="4"/>
        <v>0</v>
      </c>
      <c r="I25" s="19">
        <f t="shared" ref="I25:I26" si="86">$B$7-E25/365</f>
        <v>1.6438356164383564E-2</v>
      </c>
      <c r="J25" s="23">
        <f t="shared" ref="J25:J26" si="87">$B$11*optionPrice($B$4,F25,$B$6,I25,$B$9,G25,$B$10)</f>
        <v>17094.116215052338</v>
      </c>
      <c r="K25" s="26">
        <f t="shared" ref="K25:K26" si="88">$B$11*OptionDelta($B$4,F25,$B$6,I25,$B$9,G25,$B$10)</f>
        <v>982.98451906556431</v>
      </c>
      <c r="L25" s="27">
        <f t="shared" ref="L25" si="89">-(K25-K24)</f>
        <v>-7.5754661788007525</v>
      </c>
      <c r="M25" s="30">
        <f>-K24*(F25-F24)</f>
        <v>0</v>
      </c>
      <c r="N25" s="31">
        <f>J25-J24</f>
        <v>-34.582393160024367</v>
      </c>
      <c r="O25" s="29">
        <f t="shared" ref="O25:O26" si="90">M25+N25</f>
        <v>-34.582393160024367</v>
      </c>
      <c r="P25" s="28">
        <f t="shared" ref="P25" si="91">($B$11*OptionGamma(F25,$B$6,I25,$B$9,G25,$B$10))*F25^2*1%</f>
        <v>1052.8383888651665</v>
      </c>
      <c r="Q25" s="28">
        <f t="shared" ref="Q25:Q26" si="92">$B$11*OptionTheta($B$4,F25,$B$6,I25,$B$9,G25,$B$10)</f>
        <v>-30.46483931656288</v>
      </c>
      <c r="R25" s="29">
        <f t="shared" ref="R25:R26" si="93">$B$11*OptionVega(F25,$B$6,I25,$B$9,G25,$B$10)</f>
        <v>7.9542661400947479</v>
      </c>
      <c r="S25" s="32">
        <f t="shared" ref="S25:S26" si="94">100*(0.5*P24*H25^2)</f>
        <v>0</v>
      </c>
      <c r="T25" s="32">
        <f t="shared" ref="T25:T26" si="95">Q24</f>
        <v>-38.532605400108658</v>
      </c>
      <c r="U25" s="32">
        <f t="shared" ref="U25:U26" si="96">100*R24*(G25-G24)</f>
        <v>0</v>
      </c>
      <c r="V25" s="27">
        <f t="shared" ref="V25:V26" si="97">SUM(S25:U25)</f>
        <v>-38.532605400108658</v>
      </c>
      <c r="W25" s="32">
        <f t="shared" ref="W25:W26" si="98">O25-V25</f>
        <v>3.9502122400842907</v>
      </c>
    </row>
    <row r="26" spans="1:23" x14ac:dyDescent="0.45">
      <c r="D26" s="55">
        <v>44752</v>
      </c>
      <c r="E26">
        <v>23</v>
      </c>
      <c r="F26" s="19">
        <v>147.04</v>
      </c>
      <c r="G26" s="58">
        <v>0.45960000000000001</v>
      </c>
      <c r="H26" s="22">
        <f t="shared" si="4"/>
        <v>0</v>
      </c>
      <c r="I26" s="19">
        <f t="shared" si="86"/>
        <v>1.3698630136986301E-2</v>
      </c>
      <c r="J26" s="23">
        <f t="shared" si="87"/>
        <v>17068.05266992464</v>
      </c>
      <c r="K26" s="26">
        <f t="shared" si="88"/>
        <v>989.73834864459184</v>
      </c>
      <c r="L26" s="27">
        <f>-(K26-K25)</f>
        <v>-6.7538295790275242</v>
      </c>
      <c r="M26" s="30">
        <f t="shared" ref="M26" si="99">-K25*(F26-F25)</f>
        <v>0</v>
      </c>
      <c r="N26" s="31">
        <f t="shared" ref="N26" si="100">J26-J25</f>
        <v>-26.06354512769758</v>
      </c>
      <c r="O26" s="29">
        <f t="shared" si="90"/>
        <v>-26.06354512769758</v>
      </c>
      <c r="P26" s="28">
        <f>($B$11*OptionGamma(F26,$B$6,I26,$B$9,G26,$B$10))*F26^2*1%</f>
        <v>745.13633095343994</v>
      </c>
      <c r="Q26" s="28">
        <f t="shared" si="92"/>
        <v>-21.561199545447945</v>
      </c>
      <c r="R26" s="29">
        <f t="shared" si="93"/>
        <v>4.6912966809068619</v>
      </c>
      <c r="S26" s="32">
        <f t="shared" si="94"/>
        <v>0</v>
      </c>
      <c r="T26" s="32">
        <f t="shared" si="95"/>
        <v>-30.46483931656288</v>
      </c>
      <c r="U26" s="32">
        <f t="shared" si="96"/>
        <v>0</v>
      </c>
      <c r="V26" s="27">
        <f t="shared" si="97"/>
        <v>-30.46483931656288</v>
      </c>
      <c r="W26" s="32">
        <f t="shared" si="98"/>
        <v>4.4012941888653003</v>
      </c>
    </row>
    <row r="27" spans="1:23" x14ac:dyDescent="0.45">
      <c r="D27" s="55">
        <v>44753</v>
      </c>
      <c r="E27">
        <v>24</v>
      </c>
      <c r="F27" s="19">
        <v>144.88999999999999</v>
      </c>
      <c r="G27" s="58">
        <v>0.49740000000000001</v>
      </c>
      <c r="H27" s="22">
        <f t="shared" si="4"/>
        <v>-1.4729824774746013E-2</v>
      </c>
      <c r="I27" s="19">
        <f t="shared" ref="I27" si="101">$B$7-E27/365</f>
        <v>1.0958904109589052E-2</v>
      </c>
      <c r="J27" s="23">
        <f t="shared" ref="J27" si="102">$B$11*optionPrice($B$4,F27,$B$6,I27,$B$9,G27,$B$10)</f>
        <v>14938.483515895854</v>
      </c>
      <c r="K27" s="26">
        <f t="shared" ref="K27" si="103">$B$11*OptionDelta($B$4,F27,$B$6,I27,$B$9,G27,$B$10)</f>
        <v>982.51109240637993</v>
      </c>
      <c r="L27" s="27">
        <f>-(K27-K26)</f>
        <v>7.2272562382119077</v>
      </c>
      <c r="M27" s="30">
        <f>-K26*(F27-F26)</f>
        <v>2127.9374495858779</v>
      </c>
      <c r="N27" s="31">
        <f>J27-J26</f>
        <v>-2129.5691540287862</v>
      </c>
      <c r="O27" s="29">
        <f t="shared" ref="O27" si="104">M27+N27</f>
        <v>-1.631704442908358</v>
      </c>
      <c r="P27" s="28">
        <f>($B$11*OptionGamma(F27,$B$6,I27,$B$9,G27,$B$10))*F27^2*1%</f>
        <v>1201.8949777483642</v>
      </c>
      <c r="Q27" s="28">
        <f t="shared" ref="Q27" si="105">$B$11*OptionTheta($B$4,F27,$B$6,I27,$B$9,G27,$B$10)</f>
        <v>-40.733827713013</v>
      </c>
      <c r="R27" s="29">
        <f t="shared" ref="R27" si="106">$B$11*OptionVega(F27,$B$6,I27,$B$9,G27,$B$10)</f>
        <v>6.551480130762048</v>
      </c>
      <c r="S27" s="32">
        <f t="shared" ref="S27" si="107">100*(0.5*P26*H27^2)</f>
        <v>8.0835272075070179</v>
      </c>
      <c r="T27" s="32">
        <f t="shared" ref="T27" si="108">Q26</f>
        <v>-21.561199545447945</v>
      </c>
      <c r="U27" s="32">
        <f t="shared" ref="U27" si="109">100*R26*(G27-G26)</f>
        <v>17.733101453827938</v>
      </c>
      <c r="V27" s="27">
        <f t="shared" ref="V27" si="110">SUM(S27:U27)</f>
        <v>4.2554291158870114</v>
      </c>
      <c r="W27" s="32">
        <f t="shared" ref="W27" si="111">O27-V27</f>
        <v>-5.8871335587953695</v>
      </c>
    </row>
    <row r="28" spans="1:23" x14ac:dyDescent="0.45">
      <c r="D28" s="55">
        <v>44754</v>
      </c>
      <c r="E28">
        <v>25</v>
      </c>
      <c r="F28" s="19">
        <v>145.86000000000001</v>
      </c>
      <c r="G28" s="58">
        <v>0.7107</v>
      </c>
      <c r="H28" s="22">
        <f t="shared" si="4"/>
        <v>6.6724237234563003E-3</v>
      </c>
      <c r="I28" s="19">
        <f t="shared" ref="I28" si="112">$B$7-E28/365</f>
        <v>8.2191780821917887E-3</v>
      </c>
      <c r="J28" s="23">
        <f t="shared" ref="J28" si="113">$B$11*optionPrice($B$4,F28,$B$6,I28,$B$9,G28,$B$10)</f>
        <v>15990.947488080677</v>
      </c>
      <c r="K28" s="26">
        <f t="shared" ref="K28" si="114">$B$11*OptionDelta($B$4,F28,$B$6,I28,$B$9,G28,$B$10)</f>
        <v>965.52892341931374</v>
      </c>
      <c r="L28" s="27">
        <f>-(K28-K27)</f>
        <v>16.982168987066188</v>
      </c>
      <c r="M28" s="30">
        <f>-K27*(F28-F27)</f>
        <v>-953.03575963421531</v>
      </c>
      <c r="N28" s="31">
        <f>J28-J27</f>
        <v>1052.4639721848234</v>
      </c>
      <c r="O28" s="29">
        <f t="shared" ref="O28" si="115">M28+N28</f>
        <v>99.428212550608123</v>
      </c>
      <c r="P28" s="28">
        <f>($B$11*OptionGamma(F28,$B$6,I28,$B$9,G28,$B$10))*F28^2*1%</f>
        <v>1727.4937696410643</v>
      </c>
      <c r="Q28" s="28">
        <f t="shared" ref="Q28" si="116">$B$11*OptionTheta($B$4,F28,$B$6,I28,$B$9,G28,$B$10)</f>
        <v>-119.5270663774015</v>
      </c>
      <c r="R28" s="29">
        <f t="shared" ref="R28" si="117">$B$11*OptionVega(F28,$B$6,I28,$B$9,G28,$B$10)</f>
        <v>10.090930044525253</v>
      </c>
      <c r="S28" s="32">
        <f>100*(0.5*P27*H28^2)</f>
        <v>2.6754926385202484</v>
      </c>
      <c r="T28" s="32">
        <f t="shared" ref="T28" si="118">Q27</f>
        <v>-40.733827713013</v>
      </c>
      <c r="U28" s="32">
        <f t="shared" ref="U28" si="119">100*R27*(G28-G27)</f>
        <v>139.74307118915448</v>
      </c>
      <c r="V28" s="27">
        <f t="shared" ref="V28" si="120">SUM(S28:U28)</f>
        <v>101.68473611466172</v>
      </c>
      <c r="W28" s="32">
        <f t="shared" ref="W28" si="121">O28-V28</f>
        <v>-2.2565235640535946</v>
      </c>
    </row>
    <row r="29" spans="1:23" x14ac:dyDescent="0.45">
      <c r="D29" s="55">
        <v>44755</v>
      </c>
      <c r="E29">
        <v>26</v>
      </c>
      <c r="F29" s="19">
        <v>145.49</v>
      </c>
      <c r="G29" s="58">
        <v>0.53720000000000001</v>
      </c>
      <c r="H29" s="22">
        <f t="shared" si="4"/>
        <v>-2.5399018287897129E-3</v>
      </c>
      <c r="I29" s="19">
        <f t="shared" ref="I29" si="122">$B$7-E29/365</f>
        <v>5.4794520547945258E-3</v>
      </c>
      <c r="J29" s="23">
        <f t="shared" ref="J29" si="123">$B$11*optionPrice($B$4,F29,$B$6,I29,$B$9,G29,$B$10)</f>
        <v>15493.749508230536</v>
      </c>
      <c r="K29" s="26">
        <f t="shared" ref="K29" si="124">$B$11*OptionDelta($B$4,F29,$B$6,I29,$B$9,G29,$B$10)</f>
        <v>997.81962511363179</v>
      </c>
      <c r="L29" s="27">
        <f>-(K29-K28)</f>
        <v>-32.290701694318045</v>
      </c>
      <c r="M29" s="30">
        <f>-K28*(F29-F28)</f>
        <v>357.24570166515048</v>
      </c>
      <c r="N29" s="31">
        <f>J29-J28</f>
        <v>-497.19797985014156</v>
      </c>
      <c r="O29" s="29">
        <f t="shared" ref="O29" si="125">M29+N29</f>
        <v>-139.95227818499109</v>
      </c>
      <c r="P29" s="28">
        <f>($B$11*OptionGamma(F29,$B$6,I29,$B$9,G29,$B$10))*F29^2*1%</f>
        <v>250.8723284836004</v>
      </c>
      <c r="Q29" s="28">
        <f t="shared" ref="Q29" si="126">$B$11*OptionTheta($B$4,F29,$B$6,I29,$B$9,G29,$B$10)</f>
        <v>-9.9174931374710678</v>
      </c>
      <c r="R29" s="29">
        <f t="shared" ref="R29" si="127">$B$11*OptionVega(F29,$B$6,I29,$B$9,G29,$B$10)</f>
        <v>0.73845816362405625</v>
      </c>
      <c r="S29" s="32">
        <f>100*(0.5*P28*H29^2)</f>
        <v>0.55721186514410925</v>
      </c>
      <c r="T29" s="32">
        <f t="shared" ref="T29" si="128">Q28</f>
        <v>-119.5270663774015</v>
      </c>
      <c r="U29" s="32">
        <f t="shared" ref="U29" si="129">100*R28*(G29-G28)</f>
        <v>-175.07763627251313</v>
      </c>
      <c r="V29" s="27">
        <f t="shared" ref="V29" si="130">SUM(S29:U29)</f>
        <v>-294.0474907847705</v>
      </c>
      <c r="W29" s="32">
        <f t="shared" ref="W29" si="131">O29-V29</f>
        <v>154.09521259977942</v>
      </c>
    </row>
    <row r="30" spans="1:23" x14ac:dyDescent="0.45">
      <c r="D30" s="55">
        <v>44756</v>
      </c>
      <c r="E30">
        <v>27</v>
      </c>
      <c r="F30" s="19">
        <v>148.47</v>
      </c>
      <c r="G30" s="58">
        <v>1.091</v>
      </c>
      <c r="H30" s="22">
        <f t="shared" si="4"/>
        <v>2.0275561904607046E-2</v>
      </c>
      <c r="I30" s="19">
        <f t="shared" ref="I30" si="132">$B$7-E30/365</f>
        <v>2.7397260273972629E-3</v>
      </c>
      <c r="J30" s="23">
        <f t="shared" ref="J30" si="133">$B$11*optionPrice($B$4,F30,$B$6,I30,$B$9,G30,$B$10)</f>
        <v>18496.873764512573</v>
      </c>
      <c r="K30" s="26">
        <f t="shared" ref="K30" si="134">$B$11*OptionDelta($B$4,F30,$B$6,I30,$B$9,G30,$B$10)</f>
        <v>990.73664759518761</v>
      </c>
      <c r="L30" s="27">
        <f>-(K30-K29)</f>
        <v>7.0829775184441814</v>
      </c>
      <c r="M30" s="30">
        <f>-K29*(F30-F29)</f>
        <v>-2973.5024828386127</v>
      </c>
      <c r="N30" s="31">
        <f>J30-J29</f>
        <v>3003.1242562820371</v>
      </c>
      <c r="O30" s="29">
        <f t="shared" ref="O30" si="135">M30+N30</f>
        <v>29.621773443424445</v>
      </c>
      <c r="P30" s="28">
        <f>($B$11*OptionGamma(F30,$B$6,I30,$B$9,G30,$B$10))*F30^2*1%</f>
        <v>648.10962988525148</v>
      </c>
      <c r="Q30" s="28">
        <f t="shared" ref="Q30" si="136">$B$11*OptionTheta($B$4,F30,$B$6,I30,$B$9,G30,$B$10)</f>
        <v>-105.67569566704753</v>
      </c>
      <c r="R30" s="29">
        <f t="shared" ref="R30" si="137">$B$11*OptionVega(F30,$B$6,I30,$B$9,G30,$B$10)</f>
        <v>1.9372263183693419</v>
      </c>
      <c r="S30" s="32">
        <f>100*(0.5*P29*H30^2)</f>
        <v>5.1566607744985813</v>
      </c>
      <c r="T30" s="32">
        <f t="shared" ref="T30" si="138">Q29</f>
        <v>-9.9174931374710678</v>
      </c>
      <c r="U30" s="32">
        <f t="shared" ref="U30" si="139">100*R29*(G30-G29)</f>
        <v>40.895813101500231</v>
      </c>
      <c r="V30" s="27">
        <f t="shared" ref="V30" si="140">SUM(S30:U30)</f>
        <v>36.134980738527744</v>
      </c>
      <c r="W30" s="32">
        <f t="shared" ref="W30" si="141">O30-V30</f>
        <v>-6.5132072951032995</v>
      </c>
    </row>
    <row r="31" spans="1:23" x14ac:dyDescent="0.45">
      <c r="D31" s="55">
        <v>44757</v>
      </c>
      <c r="E31">
        <v>28</v>
      </c>
      <c r="F31" s="19">
        <v>150.16999999999999</v>
      </c>
      <c r="G31" s="58">
        <v>1.7764</v>
      </c>
      <c r="H31" s="22">
        <f t="shared" si="4"/>
        <v>1.1385068060284869E-2</v>
      </c>
      <c r="I31" s="19">
        <f t="shared" ref="I31" si="142">$B$7-E31/365</f>
        <v>0</v>
      </c>
      <c r="J31" s="23">
        <f>MAX(0, (F31-B6)*B11)</f>
        <v>20169.999999999989</v>
      </c>
      <c r="K31" s="26"/>
      <c r="L31" s="27"/>
      <c r="M31" s="30">
        <f>-K30*(F31-F30)</f>
        <v>-1684.2523009118077</v>
      </c>
      <c r="N31" s="31">
        <f>J31-J30</f>
        <v>1673.1262354874161</v>
      </c>
      <c r="O31" s="29">
        <f t="shared" ref="O31" si="143">M31+N31</f>
        <v>-11.126065424391527</v>
      </c>
      <c r="P31" s="28"/>
      <c r="Q31" s="28"/>
      <c r="R31" s="29"/>
      <c r="S31" s="32">
        <f>100*(0.5*P30*H31^2)</f>
        <v>4.200391211540663</v>
      </c>
      <c r="T31" s="32">
        <f t="shared" ref="T31" si="144">Q30</f>
        <v>-105.67569566704753</v>
      </c>
      <c r="U31" s="32">
        <f t="shared" ref="U31" si="145">100*R30*(G31-G30)</f>
        <v>132.77749186103469</v>
      </c>
      <c r="V31" s="27">
        <f t="shared" ref="V31" si="146">SUM(S31:U31)</f>
        <v>31.302187405527818</v>
      </c>
      <c r="W31" s="32">
        <f t="shared" ref="W31" si="147">O31-V31</f>
        <v>-42.428252829919344</v>
      </c>
    </row>
    <row r="32" spans="1:23" x14ac:dyDescent="0.45">
      <c r="E32" s="34"/>
      <c r="F32" s="34"/>
      <c r="G32" s="34"/>
      <c r="H32" s="34"/>
      <c r="I32" s="34"/>
      <c r="J32" s="34"/>
      <c r="K32" s="34"/>
      <c r="L32" s="35"/>
      <c r="M32" s="36">
        <f>SUM(M3:M31)</f>
        <v>-14591.850183438735</v>
      </c>
      <c r="N32" s="36">
        <f t="shared" ref="N32:W32" si="148">SUM(N3:N31)</f>
        <v>13962.203488917796</v>
      </c>
      <c r="O32" s="36">
        <f t="shared" si="148"/>
        <v>-629.6466945209396</v>
      </c>
      <c r="P32" s="36">
        <f t="shared" si="148"/>
        <v>99453.895964642783</v>
      </c>
      <c r="Q32" s="36">
        <f t="shared" si="148"/>
        <v>-2228.9890336365588</v>
      </c>
      <c r="R32" s="36">
        <f t="shared" si="148"/>
        <v>1847.0457460254352</v>
      </c>
      <c r="S32" s="36">
        <f t="shared" si="148"/>
        <v>1090.7794265328869</v>
      </c>
      <c r="T32" s="36">
        <f t="shared" si="148"/>
        <v>-2228.9890336365588</v>
      </c>
      <c r="U32" s="36">
        <f t="shared" si="148"/>
        <v>337.70235892329708</v>
      </c>
      <c r="V32" s="36">
        <f t="shared" si="148"/>
        <v>-800.50724818037554</v>
      </c>
      <c r="W32" s="36">
        <f t="shared" si="148"/>
        <v>170.86055365943577</v>
      </c>
    </row>
    <row r="34" spans="4:19" s="18" customFormat="1" x14ac:dyDescent="0.45">
      <c r="D34" s="54"/>
    </row>
    <row r="36" spans="4:19" x14ac:dyDescent="0.45">
      <c r="S36" t="s">
        <v>100</v>
      </c>
    </row>
    <row r="37" spans="4:19" x14ac:dyDescent="0.45">
      <c r="S37" t="s">
        <v>102</v>
      </c>
    </row>
    <row r="38" spans="4:19" x14ac:dyDescent="0.45">
      <c r="S38" t="s">
        <v>101</v>
      </c>
    </row>
    <row r="85" spans="19:19" x14ac:dyDescent="0.45">
      <c r="S85" t="s">
        <v>113</v>
      </c>
    </row>
  </sheetData>
  <mergeCells count="4">
    <mergeCell ref="M1:O1"/>
    <mergeCell ref="P1:R1"/>
    <mergeCell ref="S1:V1"/>
    <mergeCell ref="D1:G1"/>
  </mergeCells>
  <phoneticPr fontId="1"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38F3B-84EB-48C5-9413-B09A222D6205}">
  <dimension ref="A1:W35"/>
  <sheetViews>
    <sheetView zoomScale="90" zoomScaleNormal="90" workbookViewId="0">
      <selection activeCell="A42" sqref="A41:A42"/>
    </sheetView>
  </sheetViews>
  <sheetFormatPr defaultRowHeight="15" x14ac:dyDescent="0.45"/>
  <cols>
    <col min="1" max="1" width="43.5" bestFit="1" customWidth="1"/>
    <col min="2" max="2" width="7.28515625" bestFit="1" customWidth="1"/>
    <col min="4" max="4" width="9.2109375" bestFit="1" customWidth="1"/>
    <col min="5" max="5" width="6.140625" bestFit="1" customWidth="1"/>
    <col min="6" max="6" width="7.140625" bestFit="1" customWidth="1"/>
    <col min="7" max="7" width="8.78515625" bestFit="1" customWidth="1"/>
    <col min="8" max="8" width="8.78515625" customWidth="1"/>
    <col min="9" max="9" width="6.35546875" customWidth="1"/>
    <col min="10" max="10" width="16.640625" bestFit="1" customWidth="1"/>
    <col min="11" max="11" width="13.35546875" bestFit="1" customWidth="1"/>
    <col min="12" max="12" width="17.5" bestFit="1" customWidth="1"/>
    <col min="13" max="14" width="12.92578125" bestFit="1" customWidth="1"/>
    <col min="15" max="15" width="32.640625" bestFit="1" customWidth="1"/>
    <col min="16" max="16" width="30.28515625" bestFit="1" customWidth="1"/>
    <col min="17" max="17" width="13.140625" bestFit="1" customWidth="1"/>
    <col min="18" max="18" width="13.5703125" bestFit="1" customWidth="1"/>
    <col min="19" max="19" width="9.2109375" bestFit="1" customWidth="1"/>
    <col min="20" max="20" width="9.35546875" bestFit="1" customWidth="1"/>
    <col min="21" max="21" width="9.2109375" customWidth="1"/>
    <col min="22" max="22" width="52.5" bestFit="1" customWidth="1"/>
    <col min="23" max="23" width="9.28515625" bestFit="1" customWidth="1"/>
  </cols>
  <sheetData>
    <row r="1" spans="1:23" x14ac:dyDescent="0.45">
      <c r="A1" s="13" t="s">
        <v>32</v>
      </c>
      <c r="C1" s="18"/>
      <c r="D1" s="71" t="s">
        <v>51</v>
      </c>
      <c r="E1" s="71"/>
      <c r="F1" s="71"/>
      <c r="G1" s="80"/>
      <c r="H1" s="49"/>
      <c r="I1" s="49"/>
      <c r="J1" s="49"/>
      <c r="K1" s="49"/>
      <c r="L1" s="49"/>
      <c r="M1" s="50"/>
      <c r="N1" s="51"/>
      <c r="O1" s="73" t="s">
        <v>63</v>
      </c>
      <c r="P1" s="71"/>
      <c r="Q1" s="71"/>
      <c r="R1" s="71"/>
      <c r="S1" s="72"/>
      <c r="T1" s="64"/>
      <c r="U1" s="64"/>
      <c r="V1" t="s">
        <v>109</v>
      </c>
      <c r="W1" s="22">
        <f>_xlfn.STDEV.S(H4:H31)*SQRT(252)</f>
        <v>0.21624715063710062</v>
      </c>
    </row>
    <row r="2" spans="1:23" x14ac:dyDescent="0.45">
      <c r="C2" s="18"/>
      <c r="D2" s="54" t="s">
        <v>92</v>
      </c>
      <c r="E2" s="39" t="s">
        <v>54</v>
      </c>
      <c r="F2" s="39" t="s">
        <v>52</v>
      </c>
      <c r="G2" s="57" t="s">
        <v>53</v>
      </c>
      <c r="H2" s="41" t="s">
        <v>55</v>
      </c>
      <c r="I2" s="41" t="s">
        <v>77</v>
      </c>
      <c r="J2" s="41" t="s">
        <v>107</v>
      </c>
      <c r="K2" s="41" t="s">
        <v>56</v>
      </c>
      <c r="L2" s="41" t="s">
        <v>108</v>
      </c>
      <c r="M2" s="41" t="s">
        <v>57</v>
      </c>
      <c r="N2" s="42" t="s">
        <v>59</v>
      </c>
      <c r="O2" s="41" t="s">
        <v>103</v>
      </c>
      <c r="P2" s="41" t="s">
        <v>104</v>
      </c>
      <c r="Q2" s="41" t="s">
        <v>105</v>
      </c>
      <c r="R2" s="41" t="s">
        <v>106</v>
      </c>
      <c r="S2" s="42" t="s">
        <v>62</v>
      </c>
      <c r="T2" s="41" t="s">
        <v>112</v>
      </c>
      <c r="U2" s="41"/>
      <c r="V2" t="s">
        <v>110</v>
      </c>
      <c r="W2" s="22">
        <f>Basics!E1</f>
        <v>0.43120000000000003</v>
      </c>
    </row>
    <row r="3" spans="1:23" x14ac:dyDescent="0.45">
      <c r="A3" s="1" t="s">
        <v>39</v>
      </c>
      <c r="B3" s="2"/>
      <c r="C3" s="18"/>
      <c r="D3" s="55">
        <v>44729</v>
      </c>
      <c r="E3">
        <v>0</v>
      </c>
      <c r="F3" s="56">
        <v>131.56</v>
      </c>
      <c r="G3" s="58">
        <v>0.37330000000000002</v>
      </c>
      <c r="I3" s="19">
        <f>$B$7-E3/365</f>
        <v>7.6712328767123292E-2</v>
      </c>
      <c r="J3" s="56">
        <v>6.25</v>
      </c>
      <c r="K3" s="81">
        <f>J3*$B$11</f>
        <v>6250</v>
      </c>
      <c r="L3" s="61">
        <v>0.5685854243906</v>
      </c>
      <c r="M3" s="26">
        <f>$B$11*L3</f>
        <v>568.5854243906</v>
      </c>
      <c r="N3" s="27">
        <f>-M3</f>
        <v>-568.5854243906</v>
      </c>
      <c r="O3" s="28"/>
      <c r="P3" s="28"/>
      <c r="Q3" s="23">
        <f>(-5.85*1.2%*1/365*$B$11) + (-1*(N3*F3)*1.2%*1/365)</f>
        <v>2.2669511813532273</v>
      </c>
      <c r="S3" s="29"/>
      <c r="T3" s="62">
        <f>(F3-AVERAGE($F$3:$F$27))^2</f>
        <v>63.565539839999651</v>
      </c>
      <c r="U3" s="31"/>
      <c r="V3" t="s">
        <v>111</v>
      </c>
      <c r="W3" s="12">
        <f>Basics!I1</f>
        <v>0.39800000000000002</v>
      </c>
    </row>
    <row r="4" spans="1:23" x14ac:dyDescent="0.45">
      <c r="A4" s="2" t="s">
        <v>40</v>
      </c>
      <c r="B4" s="1" t="s">
        <v>49</v>
      </c>
      <c r="C4" s="18"/>
      <c r="D4" s="55">
        <v>44730</v>
      </c>
      <c r="E4">
        <v>1</v>
      </c>
      <c r="F4" s="56">
        <v>131.56</v>
      </c>
      <c r="G4" s="58">
        <v>0.37330000000000002</v>
      </c>
      <c r="H4" s="22">
        <f>F4/F3-1</f>
        <v>0</v>
      </c>
      <c r="I4" s="19">
        <f t="shared" ref="I4:I27" si="0">$B$7-E4/365</f>
        <v>7.3972602739726029E-2</v>
      </c>
      <c r="J4" s="56">
        <v>6.25</v>
      </c>
      <c r="K4" s="81">
        <f t="shared" ref="K4:K31" si="1">J4*$B$11</f>
        <v>6250</v>
      </c>
      <c r="L4" s="61">
        <v>0.5685854243906</v>
      </c>
      <c r="M4" s="26">
        <f t="shared" ref="M4:M31" si="2">$B$11*L4</f>
        <v>568.5854243906</v>
      </c>
      <c r="N4" s="27">
        <f>-(M4-M3)</f>
        <v>0</v>
      </c>
      <c r="O4" s="30">
        <f t="shared" ref="O4:O15" si="3">-M3*(F4-F3)</f>
        <v>0</v>
      </c>
      <c r="P4" s="31">
        <f>K4-K3</f>
        <v>0</v>
      </c>
      <c r="Q4" s="23">
        <f>(-5.85*1.2%*1/365*$B$11) + (-1*(N4*F4)*1.2%*1/365)</f>
        <v>-0.19232876712328764</v>
      </c>
      <c r="R4" s="32">
        <f>O4*1.2%*1/365</f>
        <v>0</v>
      </c>
      <c r="S4" s="29">
        <f>SUM(O4:R4)</f>
        <v>-0.19232876712328764</v>
      </c>
      <c r="T4" s="62">
        <f t="shared" ref="T4:T28" si="4">(F4-AVERAGE($F$3:$F$27))^2</f>
        <v>63.565539839999651</v>
      </c>
      <c r="U4" s="31"/>
    </row>
    <row r="5" spans="1:23" x14ac:dyDescent="0.45">
      <c r="A5" s="2" t="s">
        <v>33</v>
      </c>
      <c r="B5" s="2">
        <v>130</v>
      </c>
      <c r="C5" s="18"/>
      <c r="D5" s="55">
        <v>44731</v>
      </c>
      <c r="E5">
        <v>2</v>
      </c>
      <c r="F5" s="56">
        <v>131.56</v>
      </c>
      <c r="G5" s="58">
        <v>0.37330000000000002</v>
      </c>
      <c r="H5" s="22">
        <f>F5/F4-1</f>
        <v>0</v>
      </c>
      <c r="I5" s="19">
        <f t="shared" si="0"/>
        <v>7.1232876712328766E-2</v>
      </c>
      <c r="J5" s="56">
        <v>6.25</v>
      </c>
      <c r="K5" s="81">
        <f t="shared" si="1"/>
        <v>6250</v>
      </c>
      <c r="L5" s="61">
        <v>0.5685854243906</v>
      </c>
      <c r="M5" s="26">
        <f t="shared" si="2"/>
        <v>568.5854243906</v>
      </c>
      <c r="N5" s="27">
        <f>-(M5-M4)</f>
        <v>0</v>
      </c>
      <c r="O5" s="30">
        <f t="shared" si="3"/>
        <v>0</v>
      </c>
      <c r="P5" s="31">
        <f t="shared" ref="P5:P16" si="5">K5-K4</f>
        <v>0</v>
      </c>
      <c r="Q5" s="23">
        <f t="shared" ref="Q4:Q27" si="6">(-5.85*1.2%*1/365*$B$11) + (-1*(N5*F5)*1.2%*1/365)</f>
        <v>-0.19232876712328764</v>
      </c>
      <c r="R5" s="32">
        <f>O5*1.2%*1/365</f>
        <v>0</v>
      </c>
      <c r="S5" s="29">
        <f t="shared" ref="S5:S27" si="7">SUM(O5:R5)</f>
        <v>-0.19232876712328764</v>
      </c>
      <c r="T5" s="62">
        <f>(F5-AVERAGE($F$3:$F$27))^2</f>
        <v>63.565539839999651</v>
      </c>
      <c r="U5" s="31"/>
      <c r="V5" t="s">
        <v>114</v>
      </c>
    </row>
    <row r="6" spans="1:23" x14ac:dyDescent="0.45">
      <c r="A6" s="2" t="s">
        <v>34</v>
      </c>
      <c r="B6" s="2">
        <v>130</v>
      </c>
      <c r="C6" s="18"/>
      <c r="D6" s="55">
        <v>44732</v>
      </c>
      <c r="E6">
        <v>3</v>
      </c>
      <c r="F6" s="56">
        <v>131.56</v>
      </c>
      <c r="G6" s="58">
        <v>0.37330000000000002</v>
      </c>
      <c r="H6" s="22">
        <f t="shared" ref="H6:H27" si="8">F6/F5-1</f>
        <v>0</v>
      </c>
      <c r="I6" s="19">
        <f t="shared" si="0"/>
        <v>6.8493150684931517E-2</v>
      </c>
      <c r="J6" s="56">
        <v>6.25</v>
      </c>
      <c r="K6" s="81">
        <f t="shared" si="1"/>
        <v>6250</v>
      </c>
      <c r="L6" s="61">
        <v>0.5685854243906</v>
      </c>
      <c r="M6" s="26">
        <f t="shared" si="2"/>
        <v>568.5854243906</v>
      </c>
      <c r="N6" s="27">
        <f>-(M6-M5)</f>
        <v>0</v>
      </c>
      <c r="O6" s="30">
        <f t="shared" si="3"/>
        <v>0</v>
      </c>
      <c r="P6" s="31">
        <f t="shared" si="5"/>
        <v>0</v>
      </c>
      <c r="Q6" s="23">
        <f t="shared" si="6"/>
        <v>-0.19232876712328764</v>
      </c>
      <c r="R6" s="32">
        <f t="shared" ref="R6:R27" si="9">O6*1.2%*1/365</f>
        <v>0</v>
      </c>
      <c r="S6" s="29">
        <f t="shared" si="7"/>
        <v>-0.19232876712328764</v>
      </c>
      <c r="T6" s="62">
        <f t="shared" si="4"/>
        <v>63.565539839999651</v>
      </c>
      <c r="U6" s="31"/>
      <c r="V6" t="s">
        <v>132</v>
      </c>
    </row>
    <row r="7" spans="1:23" x14ac:dyDescent="0.45">
      <c r="A7" s="2" t="s">
        <v>35</v>
      </c>
      <c r="B7" s="3">
        <v>7.6712328767123292E-2</v>
      </c>
      <c r="C7" s="18"/>
      <c r="D7" s="55">
        <v>44733</v>
      </c>
      <c r="E7">
        <v>4</v>
      </c>
      <c r="F7" s="56">
        <v>135.87</v>
      </c>
      <c r="G7" s="58">
        <v>0.38469999999999999</v>
      </c>
      <c r="H7" s="22">
        <f t="shared" si="8"/>
        <v>3.2760717543326212E-2</v>
      </c>
      <c r="I7" s="19">
        <f t="shared" si="0"/>
        <v>6.5753424657534254E-2</v>
      </c>
      <c r="J7" s="56">
        <v>8.6</v>
      </c>
      <c r="K7" s="81">
        <f t="shared" si="1"/>
        <v>8600</v>
      </c>
      <c r="L7" s="61">
        <v>0.69218325224419996</v>
      </c>
      <c r="M7" s="26">
        <f t="shared" si="2"/>
        <v>692.18325224419993</v>
      </c>
      <c r="N7" s="27">
        <f>-(M7-M6)</f>
        <v>-123.59782785359994</v>
      </c>
      <c r="O7" s="30">
        <f t="shared" si="3"/>
        <v>-2450.6031791234873</v>
      </c>
      <c r="P7" s="31">
        <f>K7-K6</f>
        <v>2350</v>
      </c>
      <c r="Q7" s="23">
        <f>(-5.85*1.2%*1/365*$B$11) + (-1*(N7*F7)*1.2%*1/365)</f>
        <v>0.35977765053595478</v>
      </c>
      <c r="R7" s="32">
        <f>O7*1.2%*1/365</f>
        <v>-8.0567775752005064E-2</v>
      </c>
      <c r="S7" s="29">
        <f t="shared" si="7"/>
        <v>-100.32396924870332</v>
      </c>
      <c r="T7" s="62">
        <f t="shared" si="4"/>
        <v>13.416103839999822</v>
      </c>
      <c r="U7" s="31"/>
      <c r="V7" t="s">
        <v>133</v>
      </c>
    </row>
    <row r="8" spans="1:23" x14ac:dyDescent="0.45">
      <c r="A8" s="2" t="s">
        <v>36</v>
      </c>
      <c r="B8" s="24">
        <v>0.43120000000000003</v>
      </c>
      <c r="C8" s="18"/>
      <c r="D8" s="55">
        <v>44734</v>
      </c>
      <c r="E8">
        <v>5</v>
      </c>
      <c r="F8" s="56">
        <v>135.35</v>
      </c>
      <c r="G8" s="58">
        <v>0.39560000000000001</v>
      </c>
      <c r="H8" s="22">
        <f t="shared" si="8"/>
        <v>-3.8271877529992837E-3</v>
      </c>
      <c r="I8" s="19">
        <f t="shared" si="0"/>
        <v>6.3013698630136991E-2</v>
      </c>
      <c r="J8" s="56">
        <v>8.4</v>
      </c>
      <c r="K8" s="81">
        <f t="shared" si="1"/>
        <v>8400</v>
      </c>
      <c r="L8" s="61">
        <v>0.67750075478548</v>
      </c>
      <c r="M8" s="26">
        <f t="shared" si="2"/>
        <v>677.50075478548001</v>
      </c>
      <c r="N8" s="27">
        <f t="shared" ref="N8:N17" si="10">-(M8-M7)</f>
        <v>14.682497458719922</v>
      </c>
      <c r="O8" s="30">
        <f t="shared" si="3"/>
        <v>359.93529116699102</v>
      </c>
      <c r="P8" s="31">
        <f t="shared" si="5"/>
        <v>-200</v>
      </c>
      <c r="Q8" s="23">
        <f t="shared" si="6"/>
        <v>-0.25766386951356957</v>
      </c>
      <c r="R8" s="32">
        <f t="shared" si="9"/>
        <v>1.1833489024668197E-2</v>
      </c>
      <c r="S8" s="29">
        <f t="shared" si="7"/>
        <v>159.68946078650211</v>
      </c>
      <c r="T8" s="62">
        <f t="shared" si="4"/>
        <v>17.495815839999885</v>
      </c>
      <c r="U8" s="31"/>
      <c r="V8" t="s">
        <v>134</v>
      </c>
    </row>
    <row r="9" spans="1:23" x14ac:dyDescent="0.45">
      <c r="A9" s="2" t="s">
        <v>37</v>
      </c>
      <c r="B9" s="15">
        <v>0</v>
      </c>
      <c r="C9" s="18"/>
      <c r="D9" s="55">
        <v>44735</v>
      </c>
      <c r="E9">
        <v>6</v>
      </c>
      <c r="F9" s="56">
        <v>138.27000000000001</v>
      </c>
      <c r="G9" s="58">
        <v>0.39279999999999998</v>
      </c>
      <c r="H9" s="22">
        <f t="shared" si="8"/>
        <v>2.1573697820465476E-2</v>
      </c>
      <c r="I9" s="19">
        <f t="shared" si="0"/>
        <v>6.0273972602739728E-2</v>
      </c>
      <c r="J9" s="56">
        <v>10.36</v>
      </c>
      <c r="K9" s="81">
        <f t="shared" si="1"/>
        <v>10360</v>
      </c>
      <c r="L9" s="61">
        <v>0.75571098743981002</v>
      </c>
      <c r="M9" s="26">
        <f t="shared" si="2"/>
        <v>755.71098743980997</v>
      </c>
      <c r="N9" s="27">
        <f t="shared" si="10"/>
        <v>-78.210232654329957</v>
      </c>
      <c r="O9" s="30">
        <f t="shared" si="3"/>
        <v>-1978.3022039736124</v>
      </c>
      <c r="P9" s="31">
        <f t="shared" si="5"/>
        <v>1960</v>
      </c>
      <c r="Q9" s="23">
        <f t="shared" si="6"/>
        <v>0.1632042367927958</v>
      </c>
      <c r="R9" s="32">
        <f t="shared" si="9"/>
        <v>-6.5040072459406434E-2</v>
      </c>
      <c r="S9" s="29">
        <f t="shared" si="7"/>
        <v>-18.20403980927906</v>
      </c>
      <c r="T9" s="62">
        <f t="shared" si="4"/>
        <v>1.5946638399999247</v>
      </c>
      <c r="U9" s="31"/>
      <c r="V9" t="s">
        <v>135</v>
      </c>
    </row>
    <row r="10" spans="1:23" x14ac:dyDescent="0.45">
      <c r="A10" s="2" t="s">
        <v>38</v>
      </c>
      <c r="B10" s="15">
        <v>0</v>
      </c>
      <c r="C10" s="18"/>
      <c r="D10" s="55">
        <v>44736</v>
      </c>
      <c r="E10">
        <v>7</v>
      </c>
      <c r="F10" s="56">
        <v>141.66</v>
      </c>
      <c r="G10" s="58">
        <v>0.34989999999999999</v>
      </c>
      <c r="H10" s="22">
        <f t="shared" si="8"/>
        <v>2.4517248860924212E-2</v>
      </c>
      <c r="I10" s="19">
        <f t="shared" si="0"/>
        <v>5.7534246575342465E-2</v>
      </c>
      <c r="J10" s="56">
        <v>12.62</v>
      </c>
      <c r="K10" s="81">
        <f t="shared" si="1"/>
        <v>12620</v>
      </c>
      <c r="L10" s="61">
        <v>0.85775372919821002</v>
      </c>
      <c r="M10" s="26">
        <f t="shared" si="2"/>
        <v>857.75372919821007</v>
      </c>
      <c r="N10" s="27">
        <f t="shared" si="10"/>
        <v>-102.0427417584001</v>
      </c>
      <c r="O10" s="30">
        <f t="shared" si="3"/>
        <v>-2561.8602474209456</v>
      </c>
      <c r="P10" s="31">
        <f t="shared" si="5"/>
        <v>2260</v>
      </c>
      <c r="Q10" s="23">
        <f t="shared" si="6"/>
        <v>0.28291643169846448</v>
      </c>
      <c r="R10" s="32">
        <f t="shared" si="9"/>
        <v>-8.4225542380962595E-2</v>
      </c>
      <c r="S10" s="29">
        <f t="shared" si="7"/>
        <v>-301.66155653162809</v>
      </c>
      <c r="T10" s="62">
        <f t="shared" si="4"/>
        <v>4.5249798400000687</v>
      </c>
      <c r="U10" s="31"/>
      <c r="V10" t="s">
        <v>136</v>
      </c>
    </row>
    <row r="11" spans="1:23" x14ac:dyDescent="0.45">
      <c r="A11" s="2" t="s">
        <v>41</v>
      </c>
      <c r="B11" s="48">
        <v>1000</v>
      </c>
      <c r="C11" s="18"/>
      <c r="D11" s="55">
        <v>44737</v>
      </c>
      <c r="E11">
        <v>8</v>
      </c>
      <c r="F11" s="56">
        <v>141.66</v>
      </c>
      <c r="G11" s="58">
        <v>0.34989999999999999</v>
      </c>
      <c r="H11" s="22">
        <f t="shared" si="8"/>
        <v>0</v>
      </c>
      <c r="I11" s="19">
        <f t="shared" si="0"/>
        <v>5.4794520547945209E-2</v>
      </c>
      <c r="J11" s="56">
        <v>12.62</v>
      </c>
      <c r="K11" s="81">
        <f t="shared" si="1"/>
        <v>12620</v>
      </c>
      <c r="L11" s="61">
        <v>0.85775372919821002</v>
      </c>
      <c r="M11" s="26">
        <f t="shared" si="2"/>
        <v>857.75372919821007</v>
      </c>
      <c r="N11" s="27">
        <f t="shared" si="10"/>
        <v>0</v>
      </c>
      <c r="O11" s="30">
        <f t="shared" si="3"/>
        <v>0</v>
      </c>
      <c r="P11" s="31">
        <f t="shared" si="5"/>
        <v>0</v>
      </c>
      <c r="Q11" s="23">
        <f t="shared" si="6"/>
        <v>-0.19232876712328764</v>
      </c>
      <c r="R11" s="32">
        <f t="shared" si="9"/>
        <v>0</v>
      </c>
      <c r="S11" s="29">
        <f t="shared" si="7"/>
        <v>-0.19232876712328764</v>
      </c>
      <c r="T11" s="62">
        <f t="shared" si="4"/>
        <v>4.5249798400000687</v>
      </c>
      <c r="U11" s="31"/>
      <c r="V11" t="s">
        <v>137</v>
      </c>
    </row>
    <row r="12" spans="1:23" x14ac:dyDescent="0.45">
      <c r="A12" s="2" t="s">
        <v>42</v>
      </c>
      <c r="B12" s="25"/>
      <c r="C12" s="18"/>
      <c r="D12" s="55">
        <v>44738</v>
      </c>
      <c r="E12">
        <v>9</v>
      </c>
      <c r="F12" s="56">
        <v>141.66</v>
      </c>
      <c r="G12" s="58">
        <v>0.34989999999999999</v>
      </c>
      <c r="H12" s="22">
        <f t="shared" si="8"/>
        <v>0</v>
      </c>
      <c r="I12" s="19">
        <f t="shared" si="0"/>
        <v>5.2054794520547953E-2</v>
      </c>
      <c r="J12" s="56">
        <v>12.62</v>
      </c>
      <c r="K12" s="81">
        <f t="shared" si="1"/>
        <v>12620</v>
      </c>
      <c r="L12" s="61">
        <v>0.85775372919821002</v>
      </c>
      <c r="M12" s="26">
        <f t="shared" si="2"/>
        <v>857.75372919821007</v>
      </c>
      <c r="N12" s="27">
        <f t="shared" si="10"/>
        <v>0</v>
      </c>
      <c r="O12" s="30">
        <f t="shared" si="3"/>
        <v>0</v>
      </c>
      <c r="P12" s="31">
        <f t="shared" si="5"/>
        <v>0</v>
      </c>
      <c r="Q12" s="23">
        <f t="shared" si="6"/>
        <v>-0.19232876712328764</v>
      </c>
      <c r="R12" s="32">
        <f t="shared" si="9"/>
        <v>0</v>
      </c>
      <c r="S12" s="29">
        <f t="shared" si="7"/>
        <v>-0.19232876712328764</v>
      </c>
      <c r="T12" s="62">
        <f t="shared" si="4"/>
        <v>4.5249798400000687</v>
      </c>
      <c r="U12" s="31"/>
    </row>
    <row r="13" spans="1:23" x14ac:dyDescent="0.45">
      <c r="C13" s="18"/>
      <c r="D13" s="55">
        <v>44739</v>
      </c>
      <c r="E13">
        <v>10</v>
      </c>
      <c r="F13" s="56">
        <v>141.66</v>
      </c>
      <c r="G13" s="58">
        <v>0.41970000000000002</v>
      </c>
      <c r="H13" s="22">
        <f t="shared" si="8"/>
        <v>0</v>
      </c>
      <c r="I13" s="19">
        <f t="shared" si="0"/>
        <v>4.9315068493150691E-2</v>
      </c>
      <c r="J13" s="56">
        <v>12.5</v>
      </c>
      <c r="K13" s="81">
        <f t="shared" si="1"/>
        <v>12500</v>
      </c>
      <c r="L13" s="61">
        <v>0.83451219897550999</v>
      </c>
      <c r="M13" s="26">
        <f t="shared" si="2"/>
        <v>834.51219897551005</v>
      </c>
      <c r="N13" s="27">
        <f t="shared" si="10"/>
        <v>23.241530222700021</v>
      </c>
      <c r="O13" s="30">
        <f t="shared" si="3"/>
        <v>0</v>
      </c>
      <c r="P13" s="31">
        <f t="shared" si="5"/>
        <v>-120</v>
      </c>
      <c r="Q13" s="23">
        <f t="shared" si="6"/>
        <v>-0.3005718960443074</v>
      </c>
      <c r="R13" s="32">
        <f t="shared" si="9"/>
        <v>0</v>
      </c>
      <c r="S13" s="29">
        <f t="shared" si="7"/>
        <v>-120.3005718960443</v>
      </c>
      <c r="T13" s="62">
        <f t="shared" si="4"/>
        <v>4.5249798400000687</v>
      </c>
      <c r="U13" s="31"/>
    </row>
    <row r="14" spans="1:23" ht="30" x14ac:dyDescent="0.45">
      <c r="A14" s="17" t="s">
        <v>48</v>
      </c>
      <c r="B14" s="14"/>
      <c r="C14" s="18"/>
      <c r="D14" s="55">
        <v>44740</v>
      </c>
      <c r="E14">
        <v>11</v>
      </c>
      <c r="F14" s="56">
        <v>137.44</v>
      </c>
      <c r="G14" s="58">
        <v>0.39610000000000001</v>
      </c>
      <c r="H14" s="22">
        <f t="shared" si="8"/>
        <v>-2.9789637159395754E-2</v>
      </c>
      <c r="I14" s="19">
        <f t="shared" si="0"/>
        <v>4.6575342465753428E-2</v>
      </c>
      <c r="J14" s="56">
        <v>9.25</v>
      </c>
      <c r="K14" s="81">
        <f t="shared" si="1"/>
        <v>9250</v>
      </c>
      <c r="L14" s="61">
        <v>0.75750447030071999</v>
      </c>
      <c r="M14" s="26">
        <f t="shared" si="2"/>
        <v>757.50447030071996</v>
      </c>
      <c r="N14" s="27">
        <f t="shared" si="10"/>
        <v>77.007728674790087</v>
      </c>
      <c r="O14" s="30">
        <f t="shared" si="3"/>
        <v>3521.6414796766517</v>
      </c>
      <c r="P14" s="31">
        <f t="shared" si="5"/>
        <v>-3250</v>
      </c>
      <c r="Q14" s="23">
        <f t="shared" si="6"/>
        <v>-0.5402939910924871</v>
      </c>
      <c r="R14" s="32">
        <f t="shared" si="9"/>
        <v>0.11577999385238306</v>
      </c>
      <c r="S14" s="29">
        <f t="shared" si="7"/>
        <v>271.21696567941154</v>
      </c>
      <c r="T14" s="62">
        <f t="shared" si="4"/>
        <v>4.3798118399999275</v>
      </c>
      <c r="U14" s="31"/>
    </row>
    <row r="15" spans="1:23" x14ac:dyDescent="0.45">
      <c r="A15" s="14" t="s">
        <v>43</v>
      </c>
      <c r="B15" s="16">
        <v>0.15</v>
      </c>
      <c r="C15" s="18"/>
      <c r="D15" s="55">
        <v>44741</v>
      </c>
      <c r="E15">
        <v>12</v>
      </c>
      <c r="F15" s="56">
        <v>139.22999999999999</v>
      </c>
      <c r="G15" s="58">
        <v>0.40789999999999998</v>
      </c>
      <c r="H15" s="22">
        <f t="shared" si="8"/>
        <v>1.3023864959254894E-2</v>
      </c>
      <c r="I15" s="19">
        <f t="shared" si="0"/>
        <v>4.3835616438356172E-2</v>
      </c>
      <c r="J15" s="56">
        <v>10.64</v>
      </c>
      <c r="K15" s="81">
        <f t="shared" si="1"/>
        <v>10640</v>
      </c>
      <c r="L15" s="61">
        <v>0.80228351938172004</v>
      </c>
      <c r="M15" s="26">
        <f t="shared" si="2"/>
        <v>802.28351938172</v>
      </c>
      <c r="N15" s="27">
        <f t="shared" si="10"/>
        <v>-44.779049081000039</v>
      </c>
      <c r="O15" s="30">
        <f t="shared" si="3"/>
        <v>-1355.9330018382827</v>
      </c>
      <c r="P15" s="31">
        <f t="shared" si="5"/>
        <v>1390</v>
      </c>
      <c r="Q15" s="23">
        <f t="shared" si="6"/>
        <v>1.2643956281018137E-2</v>
      </c>
      <c r="R15" s="32">
        <f t="shared" si="9"/>
        <v>-4.4578619238518885E-2</v>
      </c>
      <c r="S15" s="29">
        <f t="shared" si="7"/>
        <v>34.035063498759762</v>
      </c>
      <c r="T15" s="62">
        <f t="shared" si="4"/>
        <v>9.1687839999994331E-2</v>
      </c>
      <c r="U15" s="31"/>
    </row>
    <row r="16" spans="1:23" x14ac:dyDescent="0.45">
      <c r="A16" s="14" t="s">
        <v>44</v>
      </c>
      <c r="B16" s="16">
        <v>0.75</v>
      </c>
      <c r="C16" s="18"/>
      <c r="D16" s="55">
        <v>44742</v>
      </c>
      <c r="E16">
        <v>13</v>
      </c>
      <c r="F16" s="19">
        <v>136.72</v>
      </c>
      <c r="G16" s="58">
        <v>0.3639</v>
      </c>
      <c r="H16" s="22">
        <f t="shared" si="8"/>
        <v>-1.8027723910076787E-2</v>
      </c>
      <c r="I16" s="19">
        <f t="shared" si="0"/>
        <v>4.1095890410958909E-2</v>
      </c>
      <c r="J16" s="56">
        <v>8.1999999999999993</v>
      </c>
      <c r="K16" s="81">
        <f t="shared" si="1"/>
        <v>8200</v>
      </c>
      <c r="L16" s="61">
        <v>0.76566590816966995</v>
      </c>
      <c r="M16" s="26">
        <f t="shared" si="2"/>
        <v>765.66590816966993</v>
      </c>
      <c r="N16" s="27">
        <f t="shared" si="10"/>
        <v>36.617611212050065</v>
      </c>
      <c r="O16" s="30">
        <f t="shared" ref="O16" si="11">-M15*(F16-F15)</f>
        <v>2013.7316336481099</v>
      </c>
      <c r="P16" s="31">
        <f t="shared" si="5"/>
        <v>-2440</v>
      </c>
      <c r="Q16" s="23">
        <f t="shared" si="6"/>
        <v>-0.35692141824366519</v>
      </c>
      <c r="R16" s="32">
        <f t="shared" si="9"/>
        <v>6.6204875626787174E-2</v>
      </c>
      <c r="S16" s="29">
        <f t="shared" si="7"/>
        <v>-426.55908289450696</v>
      </c>
      <c r="T16" s="62">
        <f t="shared" si="4"/>
        <v>7.9118438399998965</v>
      </c>
      <c r="U16" s="31"/>
    </row>
    <row r="17" spans="1:21" x14ac:dyDescent="0.45">
      <c r="C17" s="18"/>
      <c r="D17" s="55">
        <v>44743</v>
      </c>
      <c r="E17">
        <v>14</v>
      </c>
      <c r="F17" s="19">
        <v>138.93</v>
      </c>
      <c r="G17" s="58">
        <v>0.3826</v>
      </c>
      <c r="H17" s="22">
        <f t="shared" si="8"/>
        <v>1.6164423639555281E-2</v>
      </c>
      <c r="I17" s="19">
        <f t="shared" si="0"/>
        <v>3.8356164383561646E-2</v>
      </c>
      <c r="J17" s="56">
        <v>10</v>
      </c>
      <c r="K17" s="81">
        <f t="shared" si="1"/>
        <v>10000</v>
      </c>
      <c r="L17" s="61">
        <v>0.82334715940152003</v>
      </c>
      <c r="M17" s="26">
        <f t="shared" si="2"/>
        <v>823.34715940152</v>
      </c>
      <c r="N17" s="27">
        <f t="shared" si="10"/>
        <v>-57.681251231850069</v>
      </c>
      <c r="O17" s="30">
        <f>-M16*(F17-F16)</f>
        <v>-1692.1216570549766</v>
      </c>
      <c r="P17" s="31">
        <f t="shared" ref="P17:P25" si="12">K17-K16</f>
        <v>1800</v>
      </c>
      <c r="Q17" s="23">
        <f t="shared" si="6"/>
        <v>7.1133903571756668E-2</v>
      </c>
      <c r="R17" s="32">
        <f t="shared" si="9"/>
        <v>-5.5631396944273201E-2</v>
      </c>
      <c r="S17" s="29">
        <f t="shared" si="7"/>
        <v>107.89384545165089</v>
      </c>
      <c r="T17" s="62">
        <f t="shared" si="4"/>
        <v>0.36336783999996813</v>
      </c>
      <c r="U17" s="31"/>
    </row>
    <row r="18" spans="1:21" x14ac:dyDescent="0.45">
      <c r="A18" s="5" t="s">
        <v>96</v>
      </c>
      <c r="B18" s="59">
        <f>(6.21-5.85)*B11</f>
        <v>360.00000000000034</v>
      </c>
      <c r="C18" s="18"/>
      <c r="D18" s="55">
        <v>44744</v>
      </c>
      <c r="E18">
        <v>15</v>
      </c>
      <c r="F18" s="19">
        <v>138.93</v>
      </c>
      <c r="G18" s="58">
        <v>0.3826</v>
      </c>
      <c r="H18" s="22">
        <f t="shared" si="8"/>
        <v>0</v>
      </c>
      <c r="I18" s="19">
        <f t="shared" si="0"/>
        <v>3.561643835616439E-2</v>
      </c>
      <c r="J18" s="56">
        <v>10</v>
      </c>
      <c r="K18" s="81">
        <f t="shared" si="1"/>
        <v>10000</v>
      </c>
      <c r="L18" s="61">
        <v>0.82334715940152003</v>
      </c>
      <c r="M18" s="26">
        <f t="shared" si="2"/>
        <v>823.34715940152</v>
      </c>
      <c r="N18" s="27">
        <f>-(M18-M17)</f>
        <v>0</v>
      </c>
      <c r="O18" s="30">
        <f t="shared" ref="O18:O24" si="13">-M17*(F18-F17)</f>
        <v>0</v>
      </c>
      <c r="P18" s="31">
        <f t="shared" si="12"/>
        <v>0</v>
      </c>
      <c r="Q18" s="23">
        <f t="shared" si="6"/>
        <v>-0.19232876712328764</v>
      </c>
      <c r="R18" s="32">
        <f t="shared" si="9"/>
        <v>0</v>
      </c>
      <c r="S18" s="29">
        <f t="shared" si="7"/>
        <v>-0.19232876712328764</v>
      </c>
      <c r="T18" s="62">
        <f t="shared" si="4"/>
        <v>0.36336783999996813</v>
      </c>
      <c r="U18" s="31"/>
    </row>
    <row r="19" spans="1:21" x14ac:dyDescent="0.45">
      <c r="C19" s="18"/>
      <c r="D19" s="55">
        <v>44745</v>
      </c>
      <c r="E19">
        <v>16</v>
      </c>
      <c r="F19" s="19">
        <v>138.93</v>
      </c>
      <c r="G19" s="58">
        <v>0.3826</v>
      </c>
      <c r="H19" s="22">
        <f t="shared" si="8"/>
        <v>0</v>
      </c>
      <c r="I19" s="19">
        <f t="shared" si="0"/>
        <v>3.2876712328767127E-2</v>
      </c>
      <c r="J19" s="56">
        <v>10</v>
      </c>
      <c r="K19" s="81">
        <f t="shared" si="1"/>
        <v>10000</v>
      </c>
      <c r="L19" s="61">
        <v>0.82334715940152003</v>
      </c>
      <c r="M19" s="26">
        <f t="shared" si="2"/>
        <v>823.34715940152</v>
      </c>
      <c r="N19" s="27">
        <f t="shared" ref="N19:N25" si="14">-(M19-M18)</f>
        <v>0</v>
      </c>
      <c r="O19" s="30">
        <f t="shared" si="13"/>
        <v>0</v>
      </c>
      <c r="P19" s="31">
        <f t="shared" si="12"/>
        <v>0</v>
      </c>
      <c r="Q19" s="23">
        <f t="shared" si="6"/>
        <v>-0.19232876712328764</v>
      </c>
      <c r="R19" s="32">
        <f t="shared" si="9"/>
        <v>0</v>
      </c>
      <c r="S19" s="29">
        <f t="shared" si="7"/>
        <v>-0.19232876712328764</v>
      </c>
      <c r="T19" s="62">
        <f t="shared" si="4"/>
        <v>0.36336783999996813</v>
      </c>
      <c r="U19" s="31"/>
    </row>
    <row r="20" spans="1:21" x14ac:dyDescent="0.45">
      <c r="A20" t="s">
        <v>6</v>
      </c>
      <c r="C20" s="18"/>
      <c r="D20" s="55">
        <v>44746</v>
      </c>
      <c r="E20">
        <v>17</v>
      </c>
      <c r="F20" s="19">
        <v>138.93</v>
      </c>
      <c r="G20" s="58">
        <v>0.3826</v>
      </c>
      <c r="H20" s="22">
        <f t="shared" si="8"/>
        <v>0</v>
      </c>
      <c r="I20" s="19">
        <f t="shared" si="0"/>
        <v>3.0136986301369864E-2</v>
      </c>
      <c r="J20" s="56">
        <v>10</v>
      </c>
      <c r="K20" s="81">
        <f t="shared" si="1"/>
        <v>10000</v>
      </c>
      <c r="L20" s="61">
        <v>0.82334715940152003</v>
      </c>
      <c r="M20" s="26">
        <f t="shared" si="2"/>
        <v>823.34715940152</v>
      </c>
      <c r="N20" s="27">
        <f t="shared" si="14"/>
        <v>0</v>
      </c>
      <c r="O20" s="30">
        <f t="shared" si="13"/>
        <v>0</v>
      </c>
      <c r="P20" s="31">
        <f t="shared" si="12"/>
        <v>0</v>
      </c>
      <c r="Q20" s="23">
        <f t="shared" si="6"/>
        <v>-0.19232876712328764</v>
      </c>
      <c r="R20" s="32">
        <f t="shared" si="9"/>
        <v>0</v>
      </c>
      <c r="S20" s="29">
        <f t="shared" si="7"/>
        <v>-0.19232876712328764</v>
      </c>
      <c r="T20" s="62">
        <f t="shared" si="4"/>
        <v>0.36336783999996813</v>
      </c>
      <c r="U20" s="31"/>
    </row>
    <row r="21" spans="1:21" x14ac:dyDescent="0.45">
      <c r="A21" t="s">
        <v>94</v>
      </c>
      <c r="C21" s="18"/>
      <c r="D21" s="55">
        <v>44747</v>
      </c>
      <c r="E21">
        <v>18</v>
      </c>
      <c r="F21" s="19">
        <v>141.56</v>
      </c>
      <c r="G21" s="58">
        <v>0.43409999999999999</v>
      </c>
      <c r="H21" s="22">
        <f t="shared" si="8"/>
        <v>1.8930396602605537E-2</v>
      </c>
      <c r="I21" s="19">
        <f t="shared" si="0"/>
        <v>2.7397260273972608E-2</v>
      </c>
      <c r="J21" s="56">
        <v>11.94</v>
      </c>
      <c r="K21" s="81">
        <f t="shared" si="1"/>
        <v>11940</v>
      </c>
      <c r="L21" s="61">
        <v>0.88957477308443</v>
      </c>
      <c r="M21" s="26">
        <f t="shared" si="2"/>
        <v>889.57477308443003</v>
      </c>
      <c r="N21" s="27">
        <f t="shared" si="14"/>
        <v>-66.227613682910032</v>
      </c>
      <c r="O21" s="30">
        <f t="shared" si="13"/>
        <v>-2165.403029225994</v>
      </c>
      <c r="P21" s="31">
        <f t="shared" si="12"/>
        <v>1940</v>
      </c>
      <c r="Q21" s="23">
        <f t="shared" si="6"/>
        <v>0.11589636141214507</v>
      </c>
      <c r="R21" s="32">
        <f t="shared" si="9"/>
        <v>-7.1191332467703913E-2</v>
      </c>
      <c r="S21" s="29">
        <f t="shared" si="7"/>
        <v>-225.35832419704957</v>
      </c>
      <c r="T21" s="62">
        <f t="shared" si="4"/>
        <v>4.1095398400000889</v>
      </c>
      <c r="U21" s="31"/>
    </row>
    <row r="22" spans="1:21" x14ac:dyDescent="0.45">
      <c r="C22" s="18"/>
      <c r="D22" s="55">
        <v>44748</v>
      </c>
      <c r="E22">
        <v>19</v>
      </c>
      <c r="F22" s="19">
        <v>142.91999999999999</v>
      </c>
      <c r="G22" s="58">
        <v>0.40289999999999998</v>
      </c>
      <c r="H22" s="22">
        <f t="shared" si="8"/>
        <v>9.6072336818309179E-3</v>
      </c>
      <c r="I22" s="19">
        <f t="shared" si="0"/>
        <v>2.4657534246575345E-2</v>
      </c>
      <c r="J22" s="56">
        <v>13.2</v>
      </c>
      <c r="K22" s="81">
        <f t="shared" si="1"/>
        <v>13200</v>
      </c>
      <c r="L22" s="61">
        <v>0.93721935447765004</v>
      </c>
      <c r="M22" s="26">
        <f t="shared" si="2"/>
        <v>937.21935447765009</v>
      </c>
      <c r="N22" s="27">
        <f t="shared" si="14"/>
        <v>-47.644581393220051</v>
      </c>
      <c r="O22" s="30">
        <f t="shared" si="13"/>
        <v>-1209.8216913948118</v>
      </c>
      <c r="P22" s="31">
        <f t="shared" si="12"/>
        <v>1260</v>
      </c>
      <c r="Q22" s="23">
        <f t="shared" si="6"/>
        <v>3.1540720198981187E-2</v>
      </c>
      <c r="R22" s="32">
        <f t="shared" si="9"/>
        <v>-3.9774959717089699E-2</v>
      </c>
      <c r="S22" s="29">
        <f t="shared" si="7"/>
        <v>50.170074365670139</v>
      </c>
      <c r="T22" s="62">
        <f t="shared" si="4"/>
        <v>11.473123840000047</v>
      </c>
      <c r="U22" s="31"/>
    </row>
    <row r="23" spans="1:21" x14ac:dyDescent="0.45">
      <c r="C23" s="18"/>
      <c r="D23" s="55">
        <v>44749</v>
      </c>
      <c r="E23">
        <v>20</v>
      </c>
      <c r="F23" s="19">
        <v>146.35</v>
      </c>
      <c r="G23" s="58">
        <v>0.38679999999999998</v>
      </c>
      <c r="H23" s="22">
        <f t="shared" si="8"/>
        <v>2.3999440246291748E-2</v>
      </c>
      <c r="I23" s="19">
        <f t="shared" si="0"/>
        <v>2.1917808219178089E-2</v>
      </c>
      <c r="J23" s="56">
        <v>16.43</v>
      </c>
      <c r="K23" s="81">
        <f t="shared" si="1"/>
        <v>16430</v>
      </c>
      <c r="L23" s="61">
        <v>0.98203609655582003</v>
      </c>
      <c r="M23" s="26">
        <f t="shared" si="2"/>
        <v>982.03609655582</v>
      </c>
      <c r="N23" s="27">
        <f t="shared" si="14"/>
        <v>-44.816742078169909</v>
      </c>
      <c r="O23" s="30">
        <f t="shared" si="13"/>
        <v>-3214.6623858583462</v>
      </c>
      <c r="P23" s="31">
        <f t="shared" si="12"/>
        <v>3230</v>
      </c>
      <c r="Q23" s="23">
        <f t="shared" si="6"/>
        <v>2.3307294349813684E-2</v>
      </c>
      <c r="R23" s="32">
        <f t="shared" si="9"/>
        <v>-0.10568753049397303</v>
      </c>
      <c r="S23" s="29">
        <f t="shared" si="7"/>
        <v>15.25523390550967</v>
      </c>
      <c r="T23" s="62">
        <f t="shared" si="4"/>
        <v>46.474215840000191</v>
      </c>
      <c r="U23" s="31"/>
    </row>
    <row r="24" spans="1:21" x14ac:dyDescent="0.45">
      <c r="C24" s="18"/>
      <c r="D24" s="55">
        <v>44750</v>
      </c>
      <c r="E24">
        <v>21</v>
      </c>
      <c r="F24" s="19">
        <v>147.04</v>
      </c>
      <c r="G24" s="58">
        <v>0.45960000000000001</v>
      </c>
      <c r="H24" s="22">
        <f t="shared" si="8"/>
        <v>4.7147249743764164E-3</v>
      </c>
      <c r="I24" s="19">
        <f t="shared" si="0"/>
        <v>1.9178082191780826E-2</v>
      </c>
      <c r="J24" s="56">
        <v>17.149999999999999</v>
      </c>
      <c r="K24" s="81">
        <f t="shared" si="1"/>
        <v>17150</v>
      </c>
      <c r="L24" s="61">
        <v>0.97545827425612996</v>
      </c>
      <c r="M24" s="26">
        <f t="shared" si="2"/>
        <v>975.45827425612993</v>
      </c>
      <c r="N24" s="27">
        <f t="shared" si="14"/>
        <v>6.5778222996900695</v>
      </c>
      <c r="O24" s="30">
        <f t="shared" si="13"/>
        <v>-677.60490662351356</v>
      </c>
      <c r="P24" s="31">
        <f t="shared" si="12"/>
        <v>720</v>
      </c>
      <c r="Q24" s="23">
        <f t="shared" si="6"/>
        <v>-0.2241272216201565</v>
      </c>
      <c r="R24" s="32">
        <f t="shared" si="9"/>
        <v>-2.2277421587622363E-2</v>
      </c>
      <c r="S24" s="29">
        <f t="shared" si="7"/>
        <v>42.148688733278661</v>
      </c>
      <c r="T24" s="62">
        <f t="shared" si="4"/>
        <v>56.358051840000172</v>
      </c>
      <c r="U24" s="31"/>
    </row>
    <row r="25" spans="1:21" x14ac:dyDescent="0.45">
      <c r="C25" s="18"/>
      <c r="D25" s="55">
        <v>44751</v>
      </c>
      <c r="E25">
        <v>22</v>
      </c>
      <c r="F25" s="19">
        <v>147.04</v>
      </c>
      <c r="G25" s="58">
        <v>0.45960000000000001</v>
      </c>
      <c r="H25" s="22">
        <f t="shared" si="8"/>
        <v>0</v>
      </c>
      <c r="I25" s="19">
        <f t="shared" si="0"/>
        <v>1.6438356164383564E-2</v>
      </c>
      <c r="J25" s="56">
        <v>17.149999999999999</v>
      </c>
      <c r="K25" s="81">
        <f t="shared" si="1"/>
        <v>17150</v>
      </c>
      <c r="L25" s="61">
        <v>0.97545827425612996</v>
      </c>
      <c r="M25" s="26">
        <f t="shared" si="2"/>
        <v>975.45827425612993</v>
      </c>
      <c r="N25" s="27">
        <f t="shared" si="14"/>
        <v>0</v>
      </c>
      <c r="O25" s="30">
        <f>-M24*(F25-F24)</f>
        <v>0</v>
      </c>
      <c r="P25" s="31">
        <f t="shared" si="12"/>
        <v>0</v>
      </c>
      <c r="Q25" s="23">
        <f t="shared" si="6"/>
        <v>-0.19232876712328764</v>
      </c>
      <c r="R25" s="32">
        <f t="shared" si="9"/>
        <v>0</v>
      </c>
      <c r="S25" s="29">
        <f t="shared" si="7"/>
        <v>-0.19232876712328764</v>
      </c>
      <c r="T25" s="62">
        <f t="shared" si="4"/>
        <v>56.358051840000172</v>
      </c>
      <c r="U25" s="31"/>
    </row>
    <row r="26" spans="1:21" x14ac:dyDescent="0.45">
      <c r="C26" s="18"/>
      <c r="D26" s="55">
        <v>44752</v>
      </c>
      <c r="E26">
        <v>23</v>
      </c>
      <c r="F26" s="19">
        <v>147.04</v>
      </c>
      <c r="G26" s="58">
        <v>0.45960000000000001</v>
      </c>
      <c r="H26" s="22">
        <f t="shared" si="8"/>
        <v>0</v>
      </c>
      <c r="I26" s="19">
        <f t="shared" si="0"/>
        <v>1.3698630136986301E-2</v>
      </c>
      <c r="J26" s="56">
        <v>17.149999999999999</v>
      </c>
      <c r="K26" s="81">
        <f t="shared" si="1"/>
        <v>17150</v>
      </c>
      <c r="L26" s="61">
        <v>0.97545827425612996</v>
      </c>
      <c r="M26" s="26">
        <f t="shared" si="2"/>
        <v>975.45827425612993</v>
      </c>
      <c r="N26" s="27">
        <f t="shared" ref="N26:N31" si="15">-(M26-M25)</f>
        <v>0</v>
      </c>
      <c r="O26" s="30">
        <f t="shared" ref="O26" si="16">-M25*(F26-F25)</f>
        <v>0</v>
      </c>
      <c r="P26" s="31">
        <f t="shared" ref="P26" si="17">K26-K25</f>
        <v>0</v>
      </c>
      <c r="Q26" s="23">
        <f t="shared" si="6"/>
        <v>-0.19232876712328764</v>
      </c>
      <c r="R26" s="32">
        <f t="shared" si="9"/>
        <v>0</v>
      </c>
      <c r="S26" s="29">
        <f t="shared" si="7"/>
        <v>-0.19232876712328764</v>
      </c>
      <c r="T26" s="62">
        <f t="shared" si="4"/>
        <v>56.358051840000172</v>
      </c>
      <c r="U26" s="31"/>
    </row>
    <row r="27" spans="1:21" x14ac:dyDescent="0.45">
      <c r="C27" s="18"/>
      <c r="D27" s="55">
        <v>44753</v>
      </c>
      <c r="E27">
        <v>24</v>
      </c>
      <c r="F27" s="19">
        <v>144.88999999999999</v>
      </c>
      <c r="G27" s="58">
        <v>0.49740000000000001</v>
      </c>
      <c r="H27" s="22">
        <f t="shared" si="8"/>
        <v>-1.462187159956474E-2</v>
      </c>
      <c r="I27" s="19">
        <f t="shared" si="0"/>
        <v>1.0958904109589052E-2</v>
      </c>
      <c r="J27" s="56">
        <v>14.95</v>
      </c>
      <c r="K27" s="81">
        <f t="shared" si="1"/>
        <v>14950</v>
      </c>
      <c r="L27" s="61">
        <v>0.98251002489600003</v>
      </c>
      <c r="M27" s="26">
        <f t="shared" si="2"/>
        <v>982.510024896</v>
      </c>
      <c r="N27" s="27">
        <f t="shared" si="15"/>
        <v>-7.0517506398700789</v>
      </c>
      <c r="O27" s="30">
        <f>-M26*(F27-F26)</f>
        <v>2097.235289650685</v>
      </c>
      <c r="P27" s="31">
        <f>K27-K26</f>
        <v>-2200</v>
      </c>
      <c r="Q27" s="23">
        <f t="shared" si="6"/>
        <v>-0.15873770465060461</v>
      </c>
      <c r="R27" s="32">
        <f t="shared" si="9"/>
        <v>6.8950201303584174E-2</v>
      </c>
      <c r="S27" s="29">
        <f t="shared" si="7"/>
        <v>-102.85449785266204</v>
      </c>
      <c r="T27" s="62">
        <f t="shared" si="4"/>
        <v>28.699591840000064</v>
      </c>
      <c r="U27" s="31"/>
    </row>
    <row r="28" spans="1:21" x14ac:dyDescent="0.45">
      <c r="C28" s="18"/>
      <c r="D28" s="55">
        <v>44754</v>
      </c>
      <c r="E28">
        <v>25</v>
      </c>
      <c r="F28" s="19">
        <v>145.86000000000001</v>
      </c>
      <c r="G28" s="58">
        <v>0.7107</v>
      </c>
      <c r="H28" s="22">
        <f t="shared" ref="H28" si="18">F28/F27-1</f>
        <v>6.6947339360896585E-3</v>
      </c>
      <c r="I28" s="19">
        <f t="shared" ref="I28" si="19">$B$7-E28/365</f>
        <v>8.2191780821917887E-3</v>
      </c>
      <c r="J28" s="19">
        <v>16</v>
      </c>
      <c r="K28" s="81">
        <f t="shared" si="1"/>
        <v>16000</v>
      </c>
      <c r="L28" s="61">
        <v>0.96555999999999997</v>
      </c>
      <c r="M28" s="26">
        <f t="shared" si="2"/>
        <v>965.56</v>
      </c>
      <c r="N28" s="27">
        <f t="shared" si="15"/>
        <v>16.950024896000059</v>
      </c>
      <c r="O28" s="30">
        <f>-M27*(F28-F27)</f>
        <v>-953.03472414914677</v>
      </c>
      <c r="P28" s="31">
        <f>K28-K27</f>
        <v>1050</v>
      </c>
      <c r="Q28" s="23">
        <f t="shared" ref="Q28" si="20">(-5.85*1.2%*1/365*$B$11) + (-1*(N28*F28)*1.2%*1/365)</f>
        <v>-0.27361087007114193</v>
      </c>
      <c r="R28" s="32">
        <f t="shared" ref="R28" si="21">O28*1.2%*1/365</f>
        <v>-3.1332648465177429E-2</v>
      </c>
      <c r="S28" s="29">
        <f t="shared" ref="S28" si="22">SUM(O28:R28)</f>
        <v>96.660332332316912</v>
      </c>
      <c r="T28" s="62">
        <f t="shared" si="4"/>
        <v>40.033459840000418</v>
      </c>
      <c r="U28" s="31"/>
    </row>
    <row r="29" spans="1:21" x14ac:dyDescent="0.45">
      <c r="C29" s="18"/>
      <c r="D29" s="55">
        <v>44755</v>
      </c>
      <c r="E29">
        <v>26</v>
      </c>
      <c r="F29" s="19">
        <v>145.49</v>
      </c>
      <c r="G29" s="58">
        <v>0.53720000000000001</v>
      </c>
      <c r="H29" s="22">
        <f t="shared" ref="H29:H30" si="23">F29/F28-1</f>
        <v>-2.536679007267284E-3</v>
      </c>
      <c r="I29" s="19">
        <f t="shared" ref="I29:I30" si="24">$B$7-E29/365</f>
        <v>5.4794520547945258E-3</v>
      </c>
      <c r="J29" s="19">
        <v>15.8</v>
      </c>
      <c r="K29" s="81">
        <f t="shared" si="1"/>
        <v>15800</v>
      </c>
      <c r="L29" s="61">
        <v>0.99770000000000003</v>
      </c>
      <c r="M29" s="26">
        <f t="shared" si="2"/>
        <v>997.7</v>
      </c>
      <c r="N29" s="27">
        <f t="shared" si="15"/>
        <v>-32.1400000000001</v>
      </c>
      <c r="O29" s="30">
        <f>-M28*(F29-F28)</f>
        <v>357.25720000000439</v>
      </c>
      <c r="P29" s="31">
        <f>K29-K28</f>
        <v>-200</v>
      </c>
      <c r="Q29" s="23">
        <f>(-5.85*1.2%*1/365*$B$11) + (-1*(N29*F29)*1.2%*1/365)</f>
        <v>-3.8595662465752911E-2</v>
      </c>
      <c r="R29" s="32">
        <f t="shared" ref="R29" si="25">O29*1.2%*1/365</f>
        <v>1.1745442191780968E-2</v>
      </c>
      <c r="S29" s="29">
        <f t="shared" ref="S29" si="26">SUM(O29:R29)</f>
        <v>157.2303497797304</v>
      </c>
      <c r="T29" s="62">
        <f t="shared" ref="T29" si="27">(F29-AVERAGE($F$3:$F$27))^2</f>
        <v>35.488231840000338</v>
      </c>
      <c r="U29" s="31"/>
    </row>
    <row r="30" spans="1:21" x14ac:dyDescent="0.45">
      <c r="C30" s="18"/>
      <c r="D30" s="55">
        <v>44756</v>
      </c>
      <c r="E30">
        <v>27</v>
      </c>
      <c r="F30" s="19">
        <v>148.47</v>
      </c>
      <c r="G30" s="58">
        <v>1.091</v>
      </c>
      <c r="H30" s="22">
        <f t="shared" si="23"/>
        <v>2.0482507388823956E-2</v>
      </c>
      <c r="I30" s="19">
        <f t="shared" si="24"/>
        <v>2.7397260273972629E-3</v>
      </c>
      <c r="J30" s="19">
        <v>18.3</v>
      </c>
      <c r="K30" s="81">
        <f t="shared" si="1"/>
        <v>18300</v>
      </c>
      <c r="L30" s="61">
        <v>0.99072000000000005</v>
      </c>
      <c r="M30" s="26">
        <f t="shared" si="2"/>
        <v>990.72</v>
      </c>
      <c r="N30" s="27">
        <f t="shared" si="15"/>
        <v>6.9800000000000182</v>
      </c>
      <c r="O30" s="30">
        <f>-M29*(F30-F29)</f>
        <v>-2973.1459999999897</v>
      </c>
      <c r="P30" s="31">
        <f>K30-K29</f>
        <v>2500</v>
      </c>
      <c r="Q30" s="23">
        <f>(-5.85*1.2%*1/365*$B$11) + (-1*(N30*F30)*1.2%*1/365)</f>
        <v>-0.22639958136986307</v>
      </c>
      <c r="R30" s="32">
        <f t="shared" ref="R30" si="28">O30*1.2%*1/365</f>
        <v>-9.7747265753424323E-2</v>
      </c>
      <c r="S30" s="29">
        <f t="shared" ref="S30" si="29">SUM(O30:R30)</f>
        <v>-473.47014684711303</v>
      </c>
      <c r="T30" s="62">
        <f t="shared" ref="T30" si="30">(F30-AVERAGE($F$3:$F$27))^2</f>
        <v>79.873543840000323</v>
      </c>
      <c r="U30" s="31"/>
    </row>
    <row r="31" spans="1:21" x14ac:dyDescent="0.45">
      <c r="C31" s="18"/>
      <c r="D31" s="55">
        <v>44757</v>
      </c>
      <c r="E31">
        <v>28</v>
      </c>
      <c r="F31" s="19">
        <v>150.16999999999999</v>
      </c>
      <c r="G31" s="58">
        <v>1.7764</v>
      </c>
      <c r="H31" s="22">
        <f t="shared" ref="H31" si="31">F31/F30-1</f>
        <v>1.1450124604297063E-2</v>
      </c>
      <c r="I31" s="19">
        <f t="shared" ref="I31" si="32">$B$7-E31/365</f>
        <v>0</v>
      </c>
      <c r="J31" s="19">
        <v>20.05</v>
      </c>
      <c r="K31" s="81">
        <f t="shared" si="1"/>
        <v>20050</v>
      </c>
      <c r="L31" s="61">
        <v>0.94618000000000002</v>
      </c>
      <c r="M31" s="26">
        <f t="shared" si="2"/>
        <v>946.18000000000006</v>
      </c>
      <c r="N31" s="27">
        <f t="shared" si="15"/>
        <v>44.539999999999964</v>
      </c>
      <c r="O31" s="30">
        <f>-M30*(F31-F30)</f>
        <v>-1684.2239999999888</v>
      </c>
      <c r="P31" s="31">
        <f>K31-K30</f>
        <v>1750</v>
      </c>
      <c r="Q31" s="23">
        <f>(-5.85*1.2%*1/365*$B$11) + (-1*(N31*F31)*1.2%*1/365)</f>
        <v>-0.41222701808219159</v>
      </c>
      <c r="R31" s="32">
        <f t="shared" ref="R31" si="33">O31*1.2%*1/365</f>
        <v>-5.5371747945205115E-2</v>
      </c>
      <c r="S31" s="29">
        <f t="shared" ref="S31" si="34">SUM(O31:R31)</f>
        <v>65.308401233983815</v>
      </c>
      <c r="T31" s="62">
        <f t="shared" ref="T31" si="35">(F31-AVERAGE($F$3:$F$27))^2</f>
        <v>113.15002384000015</v>
      </c>
      <c r="U31" s="31"/>
    </row>
    <row r="32" spans="1:21" x14ac:dyDescent="0.45">
      <c r="C32" s="18"/>
      <c r="D32" s="54"/>
      <c r="E32" s="34"/>
      <c r="F32" s="34"/>
      <c r="G32" s="34"/>
      <c r="H32" s="34"/>
      <c r="I32" s="34"/>
      <c r="J32" s="34"/>
      <c r="K32" s="34"/>
      <c r="L32" s="34"/>
      <c r="M32" s="34"/>
      <c r="N32" s="35"/>
      <c r="O32" s="36">
        <f>SUM(O3:O31)</f>
        <v>-14566.916132520655</v>
      </c>
      <c r="P32" s="36">
        <f>SUM(P3:P31)</f>
        <v>13800</v>
      </c>
      <c r="Q32" s="60">
        <f>SUM(Q3:Q31)</f>
        <v>-1.3850651681924595</v>
      </c>
      <c r="R32" s="36">
        <f>SUM(R3:R31)</f>
        <v>-0.47891231120615846</v>
      </c>
      <c r="S32" s="36">
        <f>SUM(S3:S31)</f>
        <v>-771.04706118140518</v>
      </c>
      <c r="T32" s="63">
        <f>AVERAGE(T3:T31)</f>
        <v>29.209702184827595</v>
      </c>
      <c r="U32" s="36"/>
    </row>
    <row r="35" spans="10:10" x14ac:dyDescent="0.45">
      <c r="J35" s="65"/>
    </row>
  </sheetData>
  <mergeCells count="2">
    <mergeCell ref="D1:G1"/>
    <mergeCell ref="O1:S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Basics</vt:lpstr>
      <vt:lpstr>Case_RV&gt;IV</vt:lpstr>
      <vt:lpstr>Rv_Cal</vt:lpstr>
      <vt:lpstr>Acutaul_Case</vt:lpstr>
      <vt:lpstr>Appli_Theo_Pricing_Model</vt:lpstr>
      <vt:lpstr>Annual_Dividend_Yield</vt:lpstr>
      <vt:lpstr>Predicted_Volatility_Used_Historical</vt:lpstr>
      <vt:lpstr>Risk_Free_Rate</vt:lpstr>
      <vt:lpstr>Stock_Price</vt:lpstr>
      <vt:lpstr>Strike_Price</vt:lpstr>
      <vt:lpstr>Time_to_Expiry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Jacky Li</dc:creator>
  <cp:lastModifiedBy>Jacky Li</cp:lastModifiedBy>
  <dcterms:created xsi:type="dcterms:W3CDTF">2015-06-05T18:17:20Z</dcterms:created>
  <dcterms:modified xsi:type="dcterms:W3CDTF">2022-08-31T07:40:26Z</dcterms:modified>
</cp:coreProperties>
</file>